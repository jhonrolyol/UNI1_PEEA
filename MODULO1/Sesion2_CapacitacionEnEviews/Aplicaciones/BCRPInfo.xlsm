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pere\Desktop\Online\UNI\PEEA\PEEA XII\02 Eviews\Aplicaciones\"/>
    </mc:Choice>
  </mc:AlternateContent>
  <xr:revisionPtr revIDLastSave="0" documentId="13_ncr:1_{733F8254-DDDF-48CE-85EA-AA65EE6C3716}" xr6:coauthVersionLast="47" xr6:coauthVersionMax="47" xr10:uidLastSave="{00000000-0000-0000-0000-000000000000}"/>
  <bookViews>
    <workbookView xWindow="-108" yWindow="-108" windowWidth="23256" windowHeight="12576" xr2:uid="{1CC8DCCA-66CF-4B7B-B3C1-F1F81C33DA69}"/>
  </bookViews>
  <sheets>
    <sheet name="BCRP Mensual" sheetId="9" r:id="rId1"/>
    <sheet name="BCRP Trimestral" sheetId="10" r:id="rId2"/>
    <sheet name="BCRP Diaria - TC" sheetId="12" r:id="rId3"/>
    <sheet name="Parámetros" sheetId="1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" i="14" l="1"/>
  <c r="C4" i="14" s="1"/>
  <c r="C5" i="14" l="1"/>
  <c r="C3" i="14"/>
</calcChain>
</file>

<file path=xl/sharedStrings.xml><?xml version="1.0" encoding="utf-8"?>
<sst xmlns="http://schemas.openxmlformats.org/spreadsheetml/2006/main" count="737" uniqueCount="733">
  <si>
    <t>PN38050GM</t>
  </si>
  <si>
    <t>PEA</t>
  </si>
  <si>
    <t>PN38051GM</t>
  </si>
  <si>
    <t>PEA Ocupada</t>
  </si>
  <si>
    <t>PN38058GM</t>
  </si>
  <si>
    <t>PEA Ocupada - Por Tamaño de Empresa - De 1 a 10 trabajadores</t>
  </si>
  <si>
    <t>PN38059GM</t>
  </si>
  <si>
    <t>PEA Ocupada - Por Tamaño de Empresa - De 11 a 50 trabajadores</t>
  </si>
  <si>
    <t>PN38060GM</t>
  </si>
  <si>
    <t>PEA Ocupada - Por Tamaño de Empresa - De 51 y más</t>
  </si>
  <si>
    <t>PN38061GM</t>
  </si>
  <si>
    <t>PEA Adecuadamente Empleada</t>
  </si>
  <si>
    <t>PN38062GM</t>
  </si>
  <si>
    <t>PEA Subempleada</t>
  </si>
  <si>
    <t>Ene.15</t>
  </si>
  <si>
    <t>Feb.15</t>
  </si>
  <si>
    <t>Mar.15</t>
  </si>
  <si>
    <t>Abr.15</t>
  </si>
  <si>
    <t>May.15</t>
  </si>
  <si>
    <t>Jun.15</t>
  </si>
  <si>
    <t>Jul.15</t>
  </si>
  <si>
    <t>Ago.15</t>
  </si>
  <si>
    <t>Sep.15</t>
  </si>
  <si>
    <t>Oct.15</t>
  </si>
  <si>
    <t>Nov.15</t>
  </si>
  <si>
    <t>Dic.15</t>
  </si>
  <si>
    <t>Ene.16</t>
  </si>
  <si>
    <t>Feb.16</t>
  </si>
  <si>
    <t>Mar.16</t>
  </si>
  <si>
    <t>Abr.16</t>
  </si>
  <si>
    <t>May.16</t>
  </si>
  <si>
    <t>Jun.16</t>
  </si>
  <si>
    <t>Jul.16</t>
  </si>
  <si>
    <t>Ago.16</t>
  </si>
  <si>
    <t>Sep.16</t>
  </si>
  <si>
    <t>Oct.16</t>
  </si>
  <si>
    <t>Nov.16</t>
  </si>
  <si>
    <t>Dic.16</t>
  </si>
  <si>
    <t>Ene.17</t>
  </si>
  <si>
    <t>Feb.17</t>
  </si>
  <si>
    <t>Mar.17</t>
  </si>
  <si>
    <t>Abr.17</t>
  </si>
  <si>
    <t>May.17</t>
  </si>
  <si>
    <t>Jun.17</t>
  </si>
  <si>
    <t>Jul.17</t>
  </si>
  <si>
    <t>Ago.17</t>
  </si>
  <si>
    <t>Sep.17</t>
  </si>
  <si>
    <t>Oct.17</t>
  </si>
  <si>
    <t>Nov.17</t>
  </si>
  <si>
    <t>Dic.17</t>
  </si>
  <si>
    <t>Ene.18</t>
  </si>
  <si>
    <t>Feb.18</t>
  </si>
  <si>
    <t>Mar.18</t>
  </si>
  <si>
    <t>Abr.18</t>
  </si>
  <si>
    <t>May.18</t>
  </si>
  <si>
    <t>Jun.18</t>
  </si>
  <si>
    <t>Jul.18</t>
  </si>
  <si>
    <t>Ago.18</t>
  </si>
  <si>
    <t>Sep.18</t>
  </si>
  <si>
    <t>Oct.18</t>
  </si>
  <si>
    <t>Nov.18</t>
  </si>
  <si>
    <t>Dic.18</t>
  </si>
  <si>
    <t>Ene.19</t>
  </si>
  <si>
    <t>Feb.19</t>
  </si>
  <si>
    <t>Mar.19</t>
  </si>
  <si>
    <t>Abr.19</t>
  </si>
  <si>
    <t>May.19</t>
  </si>
  <si>
    <t>Jun.19</t>
  </si>
  <si>
    <t>Jul.19</t>
  </si>
  <si>
    <t>Ago.19</t>
  </si>
  <si>
    <t>Sep.19</t>
  </si>
  <si>
    <t>Oct.19</t>
  </si>
  <si>
    <t>Nov.19</t>
  </si>
  <si>
    <t>Dic.19</t>
  </si>
  <si>
    <t>Ene.20</t>
  </si>
  <si>
    <t>Feb.20</t>
  </si>
  <si>
    <t>Mar.20</t>
  </si>
  <si>
    <t>Abr.20</t>
  </si>
  <si>
    <t>May.20</t>
  </si>
  <si>
    <t>Jun.20</t>
  </si>
  <si>
    <t>Jul.20</t>
  </si>
  <si>
    <t>Fecha</t>
  </si>
  <si>
    <t>Agropecuario - Agrícola</t>
  </si>
  <si>
    <t>Agropecuario - Pecuario</t>
  </si>
  <si>
    <t>Pesca</t>
  </si>
  <si>
    <t>Minería e Hidrocarburos</t>
  </si>
  <si>
    <t>Minería e Hidrocarburos - Minería Metálica</t>
  </si>
  <si>
    <t>Minería e Hidrocarburos - Hidrocarburos</t>
  </si>
  <si>
    <t>Manufactura</t>
  </si>
  <si>
    <t>Manufactura - Procesadores Recursos Primarios</t>
  </si>
  <si>
    <t>Manufactura - Manufactura no Primaria</t>
  </si>
  <si>
    <t>Electricidad y Agua</t>
  </si>
  <si>
    <t>Construcción</t>
  </si>
  <si>
    <t>PBI</t>
  </si>
  <si>
    <t>PN38063GM</t>
  </si>
  <si>
    <t>Tasa de Desempleo (%)</t>
  </si>
  <si>
    <t>PN02528AQ</t>
  </si>
  <si>
    <t>Demanda Interna</t>
  </si>
  <si>
    <t>PN02529AQ</t>
  </si>
  <si>
    <t>Demanda Interna - Consumo Privado</t>
  </si>
  <si>
    <t>PN02530AQ</t>
  </si>
  <si>
    <t>Demanda Interna - Consumo Público</t>
  </si>
  <si>
    <t>PN02531AQ</t>
  </si>
  <si>
    <t>Demanda Interna - Inversión Bruta Interna</t>
  </si>
  <si>
    <t>PN02532AQ</t>
  </si>
  <si>
    <t>Demanda Interna - Inversión Bruta Interna - Inversión Bruta Fija</t>
  </si>
  <si>
    <t>PN02533AQ</t>
  </si>
  <si>
    <t>Demanda Interna - Inversión Bruta Interna - Inversión Bruta Fija - Privada</t>
  </si>
  <si>
    <t>PN02534AQ</t>
  </si>
  <si>
    <t>Demanda Interna - Inversión Bruta Interna - Inversión Bruta Fija - Pública</t>
  </si>
  <si>
    <t>PN02535AQ</t>
  </si>
  <si>
    <t>Demanda Interna - Inversión Bruta Interna - Variación de Inventarios</t>
  </si>
  <si>
    <t>PN02536AQ</t>
  </si>
  <si>
    <t>Exportaciones</t>
  </si>
  <si>
    <t>PN02537AQ</t>
  </si>
  <si>
    <t>Importaciones</t>
  </si>
  <si>
    <t>PN02538AQ</t>
  </si>
  <si>
    <t>PN02539AQ</t>
  </si>
  <si>
    <t>T1.13</t>
  </si>
  <si>
    <t>T2.13</t>
  </si>
  <si>
    <t>T3.13</t>
  </si>
  <si>
    <t>T4.13</t>
  </si>
  <si>
    <t>T1.14</t>
  </si>
  <si>
    <t>T2.14</t>
  </si>
  <si>
    <t>T3.14</t>
  </si>
  <si>
    <t>T4.14</t>
  </si>
  <si>
    <t>T1.15</t>
  </si>
  <si>
    <t>T2.15</t>
  </si>
  <si>
    <t>T3.15</t>
  </si>
  <si>
    <t>T4.15</t>
  </si>
  <si>
    <t>T1.16</t>
  </si>
  <si>
    <t>T2.16</t>
  </si>
  <si>
    <t>T3.16</t>
  </si>
  <si>
    <t>T4.16</t>
  </si>
  <si>
    <t>T1.17</t>
  </si>
  <si>
    <t>T2.17</t>
  </si>
  <si>
    <t>T3.17</t>
  </si>
  <si>
    <t>T4.17</t>
  </si>
  <si>
    <t>T1.18</t>
  </si>
  <si>
    <t>T2.18</t>
  </si>
  <si>
    <t>T3.18</t>
  </si>
  <si>
    <t>T4.18</t>
  </si>
  <si>
    <t>T1.19</t>
  </si>
  <si>
    <t>T2.19</t>
  </si>
  <si>
    <t>T3.19</t>
  </si>
  <si>
    <t>T4.19</t>
  </si>
  <si>
    <t>Demanda Interna sin Inventarios</t>
  </si>
  <si>
    <t>PD04637PD</t>
  </si>
  <si>
    <t>TC Interbancario (S/ por US$) - Compra</t>
  </si>
  <si>
    <t>PD04638PD</t>
  </si>
  <si>
    <t>TC Interbancario (S/ por US$) - Venta</t>
  </si>
  <si>
    <t>PD04639PD</t>
  </si>
  <si>
    <t>TC Sistema bancario SBS (S/ por US$) - Compra</t>
  </si>
  <si>
    <t>PD04640PD</t>
  </si>
  <si>
    <t>TC Sistema bancario SBS (S/ por US$) - Venta</t>
  </si>
  <si>
    <t>02.Ene.19</t>
  </si>
  <si>
    <t>03.Ene.19</t>
  </si>
  <si>
    <t>04.Ene.19</t>
  </si>
  <si>
    <t>07.Ene.19</t>
  </si>
  <si>
    <t>08.Ene.19</t>
  </si>
  <si>
    <t>09.Ene.19</t>
  </si>
  <si>
    <t>10.Ene.19</t>
  </si>
  <si>
    <t>11.Ene.19</t>
  </si>
  <si>
    <t>14.Ene.19</t>
  </si>
  <si>
    <t>15.Ene.19</t>
  </si>
  <si>
    <t>16.Ene.19</t>
  </si>
  <si>
    <t>17.Ene.19</t>
  </si>
  <si>
    <t>18.Ene.19</t>
  </si>
  <si>
    <t>21.Ene.19</t>
  </si>
  <si>
    <t>22.Ene.19</t>
  </si>
  <si>
    <t>23.Ene.19</t>
  </si>
  <si>
    <t>24.Ene.19</t>
  </si>
  <si>
    <t>25.Ene.19</t>
  </si>
  <si>
    <t>28.Ene.19</t>
  </si>
  <si>
    <t>29.Ene.19</t>
  </si>
  <si>
    <t>30.Ene.19</t>
  </si>
  <si>
    <t>31.Ene.19</t>
  </si>
  <si>
    <t>01.Feb.19</t>
  </si>
  <si>
    <t>04.Feb.19</t>
  </si>
  <si>
    <t>05.Feb.19</t>
  </si>
  <si>
    <t>06.Feb.19</t>
  </si>
  <si>
    <t>07.Feb.19</t>
  </si>
  <si>
    <t>08.Feb.19</t>
  </si>
  <si>
    <t>11.Feb.19</t>
  </si>
  <si>
    <t>12.Feb.19</t>
  </si>
  <si>
    <t>13.Feb.19</t>
  </si>
  <si>
    <t>14.Feb.19</t>
  </si>
  <si>
    <t>15.Feb.19</t>
  </si>
  <si>
    <t>18.Feb.19</t>
  </si>
  <si>
    <t>19.Feb.19</t>
  </si>
  <si>
    <t>20.Feb.19</t>
  </si>
  <si>
    <t>21.Feb.19</t>
  </si>
  <si>
    <t>22.Feb.19</t>
  </si>
  <si>
    <t>25.Feb.19</t>
  </si>
  <si>
    <t>26.Feb.19</t>
  </si>
  <si>
    <t>27.Feb.19</t>
  </si>
  <si>
    <t>28.Feb.19</t>
  </si>
  <si>
    <t>01.Mar.19</t>
  </si>
  <si>
    <t>04.Mar.19</t>
  </si>
  <si>
    <t>05.Mar.19</t>
  </si>
  <si>
    <t>06.Mar.19</t>
  </si>
  <si>
    <t>07.Mar.19</t>
  </si>
  <si>
    <t>08.Mar.19</t>
  </si>
  <si>
    <t>11.Mar.19</t>
  </si>
  <si>
    <t>12.Mar.19</t>
  </si>
  <si>
    <t>13.Mar.19</t>
  </si>
  <si>
    <t>14.Mar.19</t>
  </si>
  <si>
    <t>15.Mar.19</t>
  </si>
  <si>
    <t>18.Mar.19</t>
  </si>
  <si>
    <t>19.Mar.19</t>
  </si>
  <si>
    <t>20.Mar.19</t>
  </si>
  <si>
    <t>21.Mar.19</t>
  </si>
  <si>
    <t>22.Mar.19</t>
  </si>
  <si>
    <t>25.Mar.19</t>
  </si>
  <si>
    <t>26.Mar.19</t>
  </si>
  <si>
    <t>27.Mar.19</t>
  </si>
  <si>
    <t>28.Mar.19</t>
  </si>
  <si>
    <t>29.Mar.19</t>
  </si>
  <si>
    <t>01.Abr.19</t>
  </si>
  <si>
    <t>02.Abr.19</t>
  </si>
  <si>
    <t>03.Abr.19</t>
  </si>
  <si>
    <t>04.Abr.19</t>
  </si>
  <si>
    <t>05.Abr.19</t>
  </si>
  <si>
    <t>08.Abr.19</t>
  </si>
  <si>
    <t>09.Abr.19</t>
  </si>
  <si>
    <t>10.Abr.19</t>
  </si>
  <si>
    <t>11.Abr.19</t>
  </si>
  <si>
    <t>12.Abr.19</t>
  </si>
  <si>
    <t>15.Abr.19</t>
  </si>
  <si>
    <t>16.Abr.19</t>
  </si>
  <si>
    <t>17.Abr.19</t>
  </si>
  <si>
    <t>22.Abr.19</t>
  </si>
  <si>
    <t>23.Abr.19</t>
  </si>
  <si>
    <t>24.Abr.19</t>
  </si>
  <si>
    <t>25.Abr.19</t>
  </si>
  <si>
    <t>26.Abr.19</t>
  </si>
  <si>
    <t>29.Abr.19</t>
  </si>
  <si>
    <t>30.Abr.19</t>
  </si>
  <si>
    <t>02.May.19</t>
  </si>
  <si>
    <t>03.May.19</t>
  </si>
  <si>
    <t>06.May.19</t>
  </si>
  <si>
    <t>07.May.19</t>
  </si>
  <si>
    <t>08.May.19</t>
  </si>
  <si>
    <t>09.May.19</t>
  </si>
  <si>
    <t>10.May.19</t>
  </si>
  <si>
    <t>13.May.19</t>
  </si>
  <si>
    <t>14.May.19</t>
  </si>
  <si>
    <t>15.May.19</t>
  </si>
  <si>
    <t>16.May.19</t>
  </si>
  <si>
    <t>17.May.19</t>
  </si>
  <si>
    <t>20.May.19</t>
  </si>
  <si>
    <t>21.May.19</t>
  </si>
  <si>
    <t>22.May.19</t>
  </si>
  <si>
    <t>23.May.19</t>
  </si>
  <si>
    <t>24.May.19</t>
  </si>
  <si>
    <t>27.May.19</t>
  </si>
  <si>
    <t>28.May.19</t>
  </si>
  <si>
    <t>29.May.19</t>
  </si>
  <si>
    <t>30.May.19</t>
  </si>
  <si>
    <t>31.May.19</t>
  </si>
  <si>
    <t>03.Jun.19</t>
  </si>
  <si>
    <t>04.Jun.19</t>
  </si>
  <si>
    <t>05.Jun.19</t>
  </si>
  <si>
    <t>06.Jun.19</t>
  </si>
  <si>
    <t>07.Jun.19</t>
  </si>
  <si>
    <t>10.Jun.19</t>
  </si>
  <si>
    <t>11.Jun.19</t>
  </si>
  <si>
    <t>12.Jun.19</t>
  </si>
  <si>
    <t>13.Jun.19</t>
  </si>
  <si>
    <t>14.Jun.19</t>
  </si>
  <si>
    <t>17.Jun.19</t>
  </si>
  <si>
    <t>18.Jun.19</t>
  </si>
  <si>
    <t>19.Jun.19</t>
  </si>
  <si>
    <t>20.Jun.19</t>
  </si>
  <si>
    <t>21.Jun.19</t>
  </si>
  <si>
    <t>24.Jun.19</t>
  </si>
  <si>
    <t>25.Jun.19</t>
  </si>
  <si>
    <t>26.Jun.19</t>
  </si>
  <si>
    <t>27.Jun.19</t>
  </si>
  <si>
    <t>28.Jun.19</t>
  </si>
  <si>
    <t>01.Jul.19</t>
  </si>
  <si>
    <t>02.Jul.19</t>
  </si>
  <si>
    <t>03.Jul.19</t>
  </si>
  <si>
    <t>04.Jul.19</t>
  </si>
  <si>
    <t>05.Jul.19</t>
  </si>
  <si>
    <t>08.Jul.19</t>
  </si>
  <si>
    <t>09.Jul.19</t>
  </si>
  <si>
    <t>10.Jul.19</t>
  </si>
  <si>
    <t>11.Jul.19</t>
  </si>
  <si>
    <t>12.Jul.19</t>
  </si>
  <si>
    <t>15.Jul.19</t>
  </si>
  <si>
    <t>16.Jul.19</t>
  </si>
  <si>
    <t>17.Jul.19</t>
  </si>
  <si>
    <t>18.Jul.19</t>
  </si>
  <si>
    <t>19.Jul.19</t>
  </si>
  <si>
    <t>22.Jul.19</t>
  </si>
  <si>
    <t>23.Jul.19</t>
  </si>
  <si>
    <t>24.Jul.19</t>
  </si>
  <si>
    <t>25.Jul.19</t>
  </si>
  <si>
    <t>26.Jul.19</t>
  </si>
  <si>
    <t>31.Jul.19</t>
  </si>
  <si>
    <t>01.Ago.19</t>
  </si>
  <si>
    <t>02.Ago.19</t>
  </si>
  <si>
    <t>05.Ago.19</t>
  </si>
  <si>
    <t>06.Ago.19</t>
  </si>
  <si>
    <t>07.Ago.19</t>
  </si>
  <si>
    <t>08.Ago.19</t>
  </si>
  <si>
    <t>09.Ago.19</t>
  </si>
  <si>
    <t>12.Ago.19</t>
  </si>
  <si>
    <t>13.Ago.19</t>
  </si>
  <si>
    <t>14.Ago.19</t>
  </si>
  <si>
    <t>15.Ago.19</t>
  </si>
  <si>
    <t>16.Ago.19</t>
  </si>
  <si>
    <t>19.Ago.19</t>
  </si>
  <si>
    <t>20.Ago.19</t>
  </si>
  <si>
    <t>21.Ago.19</t>
  </si>
  <si>
    <t>22.Ago.19</t>
  </si>
  <si>
    <t>23.Ago.19</t>
  </si>
  <si>
    <t>26.Ago.19</t>
  </si>
  <si>
    <t>27.Ago.19</t>
  </si>
  <si>
    <t>28.Ago.19</t>
  </si>
  <si>
    <t>02.Set.19</t>
  </si>
  <si>
    <t>03.Set.19</t>
  </si>
  <si>
    <t>04.Set.19</t>
  </si>
  <si>
    <t>05.Set.19</t>
  </si>
  <si>
    <t>06.Set.19</t>
  </si>
  <si>
    <t>09.Set.19</t>
  </si>
  <si>
    <t>10.Set.19</t>
  </si>
  <si>
    <t>11.Set.19</t>
  </si>
  <si>
    <t>12.Set.19</t>
  </si>
  <si>
    <t>13.Set.19</t>
  </si>
  <si>
    <t>16.Set.19</t>
  </si>
  <si>
    <t>17.Set.19</t>
  </si>
  <si>
    <t>18.Set.19</t>
  </si>
  <si>
    <t>19.Set.19</t>
  </si>
  <si>
    <t>20.Set.19</t>
  </si>
  <si>
    <t>23.Set.19</t>
  </si>
  <si>
    <t>24.Set.19</t>
  </si>
  <si>
    <t>25.Set.19</t>
  </si>
  <si>
    <t>26.Set.19</t>
  </si>
  <si>
    <t>27.Set.19</t>
  </si>
  <si>
    <t>30.Set.19</t>
  </si>
  <si>
    <t>01.Oct.19</t>
  </si>
  <si>
    <t>02.Oct.19</t>
  </si>
  <si>
    <t>03.Oct.19</t>
  </si>
  <si>
    <t>04.Oct.19</t>
  </si>
  <si>
    <t>07.Oct.19</t>
  </si>
  <si>
    <t>09.Oct.19</t>
  </si>
  <si>
    <t>10.Oct.19</t>
  </si>
  <si>
    <t>11.Oct.19</t>
  </si>
  <si>
    <t>14.Oct.19</t>
  </si>
  <si>
    <t>15.Oct.19</t>
  </si>
  <si>
    <t>16.Oct.19</t>
  </si>
  <si>
    <t>17.Oct.19</t>
  </si>
  <si>
    <t>18.Oct.19</t>
  </si>
  <si>
    <t>21.Oct.19</t>
  </si>
  <si>
    <t>22.Oct.19</t>
  </si>
  <si>
    <t>23.Oct.19</t>
  </si>
  <si>
    <t>24.Oct.19</t>
  </si>
  <si>
    <t>25.Oct.19</t>
  </si>
  <si>
    <t>28.Oct.19</t>
  </si>
  <si>
    <t>29.Oct.19</t>
  </si>
  <si>
    <t>30.Oct.19</t>
  </si>
  <si>
    <t>04.Nov.19</t>
  </si>
  <si>
    <t>05.Nov.19</t>
  </si>
  <si>
    <t>06.Nov.19</t>
  </si>
  <si>
    <t>07.Nov.19</t>
  </si>
  <si>
    <t>08.Nov.19</t>
  </si>
  <si>
    <t>11.Nov.19</t>
  </si>
  <si>
    <t>12.Nov.19</t>
  </si>
  <si>
    <t>13.Nov.19</t>
  </si>
  <si>
    <t>14.Nov.19</t>
  </si>
  <si>
    <t>15.Nov.19</t>
  </si>
  <si>
    <t>18.Nov.19</t>
  </si>
  <si>
    <t>19.Nov.19</t>
  </si>
  <si>
    <t>20.Nov.19</t>
  </si>
  <si>
    <t>21.Nov.19</t>
  </si>
  <si>
    <t>22.Nov.19</t>
  </si>
  <si>
    <t>25.Nov.19</t>
  </si>
  <si>
    <t>26.Nov.19</t>
  </si>
  <si>
    <t>27.Nov.19</t>
  </si>
  <si>
    <t>28.Nov.19</t>
  </si>
  <si>
    <t>29.Nov.19</t>
  </si>
  <si>
    <t>02.Dic.19</t>
  </si>
  <si>
    <t>03.Dic.19</t>
  </si>
  <si>
    <t>04.Dic.19</t>
  </si>
  <si>
    <t>05.Dic.19</t>
  </si>
  <si>
    <t>06.Dic.19</t>
  </si>
  <si>
    <t>09.Dic.19</t>
  </si>
  <si>
    <t>10.Dic.19</t>
  </si>
  <si>
    <t>11.Dic.19</t>
  </si>
  <si>
    <t>12.Dic.19</t>
  </si>
  <si>
    <t>13.Dic.19</t>
  </si>
  <si>
    <t>16.Dic.19</t>
  </si>
  <si>
    <t>17.Dic.19</t>
  </si>
  <si>
    <t>18.Dic.19</t>
  </si>
  <si>
    <t>19.Dic.19</t>
  </si>
  <si>
    <t>20.Dic.19</t>
  </si>
  <si>
    <t>23.Dic.19</t>
  </si>
  <si>
    <t>24.Dic.19</t>
  </si>
  <si>
    <t>26.Dic.19</t>
  </si>
  <si>
    <t>27.Dic.19</t>
  </si>
  <si>
    <t>30.Dic.19</t>
  </si>
  <si>
    <t>31.Dic.19</t>
  </si>
  <si>
    <t>02.Ene.20</t>
  </si>
  <si>
    <t>03.Ene.20</t>
  </si>
  <si>
    <t>06.Ene.20</t>
  </si>
  <si>
    <t>07.Ene.20</t>
  </si>
  <si>
    <t>08.Ene.20</t>
  </si>
  <si>
    <t>09.Ene.20</t>
  </si>
  <si>
    <t>10.Ene.20</t>
  </si>
  <si>
    <t>13.Ene.20</t>
  </si>
  <si>
    <t>14.Ene.20</t>
  </si>
  <si>
    <t>15.Ene.20</t>
  </si>
  <si>
    <t>16.Ene.20</t>
  </si>
  <si>
    <t>17.Ene.20</t>
  </si>
  <si>
    <t>20.Ene.20</t>
  </si>
  <si>
    <t>21.Ene.20</t>
  </si>
  <si>
    <t>22.Ene.20</t>
  </si>
  <si>
    <t>23.Ene.20</t>
  </si>
  <si>
    <t>24.Ene.20</t>
  </si>
  <si>
    <t>27.Ene.20</t>
  </si>
  <si>
    <t>28.Ene.20</t>
  </si>
  <si>
    <t>29.Ene.20</t>
  </si>
  <si>
    <t>30.Ene.20</t>
  </si>
  <si>
    <t>31.Ene.20</t>
  </si>
  <si>
    <t>03.Feb.20</t>
  </si>
  <si>
    <t>04.Feb.20</t>
  </si>
  <si>
    <t>05.Feb.20</t>
  </si>
  <si>
    <t>06.Feb.20</t>
  </si>
  <si>
    <t>07.Feb.20</t>
  </si>
  <si>
    <t>10.Feb.20</t>
  </si>
  <si>
    <t>11.Feb.20</t>
  </si>
  <si>
    <t>12.Feb.20</t>
  </si>
  <si>
    <t>13.Feb.20</t>
  </si>
  <si>
    <t>14.Feb.20</t>
  </si>
  <si>
    <t>17.Feb.20</t>
  </si>
  <si>
    <t>18.Feb.20</t>
  </si>
  <si>
    <t>19.Feb.20</t>
  </si>
  <si>
    <t>20.Feb.20</t>
  </si>
  <si>
    <t>21.Feb.20</t>
  </si>
  <si>
    <t>24.Feb.20</t>
  </si>
  <si>
    <t>25.Feb.20</t>
  </si>
  <si>
    <t>26.Feb.20</t>
  </si>
  <si>
    <t>27.Feb.20</t>
  </si>
  <si>
    <t>28.Feb.20</t>
  </si>
  <si>
    <t>02.Mar.20</t>
  </si>
  <si>
    <t>03.Mar.20</t>
  </si>
  <si>
    <t>04.Mar.20</t>
  </si>
  <si>
    <t>05.Mar.20</t>
  </si>
  <si>
    <t>06.Mar.20</t>
  </si>
  <si>
    <t>09.Mar.20</t>
  </si>
  <si>
    <t>10.Mar.20</t>
  </si>
  <si>
    <t>11.Mar.20</t>
  </si>
  <si>
    <t>12.Mar.20</t>
  </si>
  <si>
    <t>13.Mar.20</t>
  </si>
  <si>
    <t>16.Mar.20</t>
  </si>
  <si>
    <t>17.Mar.20</t>
  </si>
  <si>
    <t>18.Mar.20</t>
  </si>
  <si>
    <t>19.Mar.20</t>
  </si>
  <si>
    <t>20.Mar.20</t>
  </si>
  <si>
    <t>23.Mar.20</t>
  </si>
  <si>
    <t>24.Mar.20</t>
  </si>
  <si>
    <t>25.Mar.20</t>
  </si>
  <si>
    <t>26.Mar.20</t>
  </si>
  <si>
    <t>27.Mar.20</t>
  </si>
  <si>
    <t>30.Mar.20</t>
  </si>
  <si>
    <t>31.Mar.20</t>
  </si>
  <si>
    <t>01.Abr.20</t>
  </si>
  <si>
    <t>02.Abr.20</t>
  </si>
  <si>
    <t>03.Abr.20</t>
  </si>
  <si>
    <t>06.Abr.20</t>
  </si>
  <si>
    <t>07.Abr.20</t>
  </si>
  <si>
    <t>08.Abr.20</t>
  </si>
  <si>
    <t>13.Abr.20</t>
  </si>
  <si>
    <t>14.Abr.20</t>
  </si>
  <si>
    <t>15.Abr.20</t>
  </si>
  <si>
    <t>16.Abr.20</t>
  </si>
  <si>
    <t>17.Abr.20</t>
  </si>
  <si>
    <t>20.Abr.20</t>
  </si>
  <si>
    <t>21.Abr.20</t>
  </si>
  <si>
    <t>22.Abr.20</t>
  </si>
  <si>
    <t>23.Abr.20</t>
  </si>
  <si>
    <t>24.Abr.20</t>
  </si>
  <si>
    <t>27.Abr.20</t>
  </si>
  <si>
    <t>28.Abr.20</t>
  </si>
  <si>
    <t>29.Abr.20</t>
  </si>
  <si>
    <t>30.Abr.20</t>
  </si>
  <si>
    <t>04.May.20</t>
  </si>
  <si>
    <t>05.May.20</t>
  </si>
  <si>
    <t>06.May.20</t>
  </si>
  <si>
    <t>07.May.20</t>
  </si>
  <si>
    <t>08.May.20</t>
  </si>
  <si>
    <t>11.May.20</t>
  </si>
  <si>
    <t>12.May.20</t>
  </si>
  <si>
    <t>13.May.20</t>
  </si>
  <si>
    <t>14.May.20</t>
  </si>
  <si>
    <t>15.May.20</t>
  </si>
  <si>
    <t>18.May.20</t>
  </si>
  <si>
    <t>19.May.20</t>
  </si>
  <si>
    <t>20.May.20</t>
  </si>
  <si>
    <t>21.May.20</t>
  </si>
  <si>
    <t>22.May.20</t>
  </si>
  <si>
    <t>25.May.20</t>
  </si>
  <si>
    <t>26.May.20</t>
  </si>
  <si>
    <t>27.May.20</t>
  </si>
  <si>
    <t>28.May.20</t>
  </si>
  <si>
    <t>29.May.20</t>
  </si>
  <si>
    <t>01.Jun.20</t>
  </si>
  <si>
    <t>02.Jun.20</t>
  </si>
  <si>
    <t>03.Jun.20</t>
  </si>
  <si>
    <t>04.Jun.20</t>
  </si>
  <si>
    <t>05.Jun.20</t>
  </si>
  <si>
    <t>08.Jun.20</t>
  </si>
  <si>
    <t>09.Jun.20</t>
  </si>
  <si>
    <t>10.Jun.20</t>
  </si>
  <si>
    <t>11.Jun.20</t>
  </si>
  <si>
    <t>12.Jun.20</t>
  </si>
  <si>
    <t>15.Jun.20</t>
  </si>
  <si>
    <t>16.Jun.20</t>
  </si>
  <si>
    <t>17.Jun.20</t>
  </si>
  <si>
    <t>18.Jun.20</t>
  </si>
  <si>
    <t>19.Jun.20</t>
  </si>
  <si>
    <t>22.Jun.20</t>
  </si>
  <si>
    <t>23.Jun.20</t>
  </si>
  <si>
    <t>24.Jun.20</t>
  </si>
  <si>
    <t>25.Jun.20</t>
  </si>
  <si>
    <t>26.Jun.20</t>
  </si>
  <si>
    <t>30.Jun.20</t>
  </si>
  <si>
    <t>01.Jul.20</t>
  </si>
  <si>
    <t>02.Jul.20</t>
  </si>
  <si>
    <t>03.Jul.20</t>
  </si>
  <si>
    <t>06.Jul.20</t>
  </si>
  <si>
    <t>07.Jul.20</t>
  </si>
  <si>
    <t>08.Jul.20</t>
  </si>
  <si>
    <t>09.Jul.20</t>
  </si>
  <si>
    <t>10.Jul.20</t>
  </si>
  <si>
    <t>13.Jul.20</t>
  </si>
  <si>
    <t>14.Jul.20</t>
  </si>
  <si>
    <t>15.Jul.20</t>
  </si>
  <si>
    <t>16.Jul.20</t>
  </si>
  <si>
    <t>17.Jul.20</t>
  </si>
  <si>
    <t>20.Jul.20</t>
  </si>
  <si>
    <t>21.Jul.20</t>
  </si>
  <si>
    <t>22.Jul.20</t>
  </si>
  <si>
    <t>23.Jul.20</t>
  </si>
  <si>
    <t>24.Jul.20</t>
  </si>
  <si>
    <t>27.Jul.20</t>
  </si>
  <si>
    <t>29.Jul.20</t>
  </si>
  <si>
    <t>30.Jul.20</t>
  </si>
  <si>
    <t>31.Jul.20</t>
  </si>
  <si>
    <t>03.Ago.20</t>
  </si>
  <si>
    <t>04.Ago.20</t>
  </si>
  <si>
    <t>05.Ago.20</t>
  </si>
  <si>
    <t>06.Ago.20</t>
  </si>
  <si>
    <t>07.Ago.20</t>
  </si>
  <si>
    <t>10.Ago.20</t>
  </si>
  <si>
    <t>11.Ago.20</t>
  </si>
  <si>
    <t>12.Ago.20</t>
  </si>
  <si>
    <t>13.Ago.20</t>
  </si>
  <si>
    <t>14.Ago.20</t>
  </si>
  <si>
    <t>17.Ago.20</t>
  </si>
  <si>
    <t>18.Ago.20</t>
  </si>
  <si>
    <t>19.Ago.20</t>
  </si>
  <si>
    <t>20.Ago.20</t>
  </si>
  <si>
    <t>21.Ago.20</t>
  </si>
  <si>
    <t>24.Ago.20</t>
  </si>
  <si>
    <t>25.Ago.20</t>
  </si>
  <si>
    <t>26.Ago.20</t>
  </si>
  <si>
    <t>27.Ago.20</t>
  </si>
  <si>
    <t>PN01756AM</t>
  </si>
  <si>
    <t>PN01757AM</t>
  </si>
  <si>
    <t>PN01758AM</t>
  </si>
  <si>
    <t>PN01759AM</t>
  </si>
  <si>
    <t>PN01760AM</t>
  </si>
  <si>
    <t>PN01761AM</t>
  </si>
  <si>
    <t>PN01762AM</t>
  </si>
  <si>
    <t>PN01763AM</t>
  </si>
  <si>
    <t>PN01764AM</t>
  </si>
  <si>
    <t>PN01765AM</t>
  </si>
  <si>
    <t>PN01766AM</t>
  </si>
  <si>
    <t>Frecuencia Menual (años)</t>
  </si>
  <si>
    <t>Frecuencia Trimestral  (años)</t>
  </si>
  <si>
    <t>Frecuencia Diaria (años)</t>
  </si>
  <si>
    <t>T1.12</t>
  </si>
  <si>
    <t>T2.12</t>
  </si>
  <si>
    <t>T3.12</t>
  </si>
  <si>
    <t>T4.12</t>
  </si>
  <si>
    <t>Ene.06</t>
  </si>
  <si>
    <t>Feb.06</t>
  </si>
  <si>
    <t>Mar.06</t>
  </si>
  <si>
    <t>Abr.06</t>
  </si>
  <si>
    <t>May.06</t>
  </si>
  <si>
    <t>Jun.06</t>
  </si>
  <si>
    <t>Jul.06</t>
  </si>
  <si>
    <t>Ago.06</t>
  </si>
  <si>
    <t>Sep.06</t>
  </si>
  <si>
    <t>Oct.06</t>
  </si>
  <si>
    <t>Nov.06</t>
  </si>
  <si>
    <t>Dic.06</t>
  </si>
  <si>
    <t>Ene.07</t>
  </si>
  <si>
    <t>Feb.07</t>
  </si>
  <si>
    <t>Mar.07</t>
  </si>
  <si>
    <t>Abr.07</t>
  </si>
  <si>
    <t>May.07</t>
  </si>
  <si>
    <t>Jun.07</t>
  </si>
  <si>
    <t>Jul.07</t>
  </si>
  <si>
    <t>Ago.07</t>
  </si>
  <si>
    <t>Sep.07</t>
  </si>
  <si>
    <t>Oct.07</t>
  </si>
  <si>
    <t>Nov.07</t>
  </si>
  <si>
    <t>Dic.07</t>
  </si>
  <si>
    <t>Ene.08</t>
  </si>
  <si>
    <t>Feb.08</t>
  </si>
  <si>
    <t>Mar.08</t>
  </si>
  <si>
    <t>Abr.08</t>
  </si>
  <si>
    <t>May.08</t>
  </si>
  <si>
    <t>Jun.08</t>
  </si>
  <si>
    <t>Jul.08</t>
  </si>
  <si>
    <t>Ago.08</t>
  </si>
  <si>
    <t>Sep.08</t>
  </si>
  <si>
    <t>Oct.08</t>
  </si>
  <si>
    <t>Nov.08</t>
  </si>
  <si>
    <t>Dic.08</t>
  </si>
  <si>
    <t>Ene.09</t>
  </si>
  <si>
    <t>Feb.09</t>
  </si>
  <si>
    <t>Mar.09</t>
  </si>
  <si>
    <t>Abr.09</t>
  </si>
  <si>
    <t>May.09</t>
  </si>
  <si>
    <t>Jun.09</t>
  </si>
  <si>
    <t>Jul.09</t>
  </si>
  <si>
    <t>Ago.09</t>
  </si>
  <si>
    <t>Sep.09</t>
  </si>
  <si>
    <t>Oct.09</t>
  </si>
  <si>
    <t>Nov.09</t>
  </si>
  <si>
    <t>Dic.09</t>
  </si>
  <si>
    <t>Ene.10</t>
  </si>
  <si>
    <t>Feb.10</t>
  </si>
  <si>
    <t>Mar.10</t>
  </si>
  <si>
    <t>Abr.10</t>
  </si>
  <si>
    <t>May.10</t>
  </si>
  <si>
    <t>Jun.10</t>
  </si>
  <si>
    <t>Jul.10</t>
  </si>
  <si>
    <t>Ago.10</t>
  </si>
  <si>
    <t>Sep.10</t>
  </si>
  <si>
    <t>Oct.10</t>
  </si>
  <si>
    <t>Nov.10</t>
  </si>
  <si>
    <t>Dic.10</t>
  </si>
  <si>
    <t>Ene.11</t>
  </si>
  <si>
    <t>Feb.11</t>
  </si>
  <si>
    <t>Mar.11</t>
  </si>
  <si>
    <t>Abr.11</t>
  </si>
  <si>
    <t>May.11</t>
  </si>
  <si>
    <t>Jun.11</t>
  </si>
  <si>
    <t>Jul.11</t>
  </si>
  <si>
    <t>Ago.11</t>
  </si>
  <si>
    <t>Sep.11</t>
  </si>
  <si>
    <t>Oct.11</t>
  </si>
  <si>
    <t>Nov.11</t>
  </si>
  <si>
    <t>Dic.11</t>
  </si>
  <si>
    <t>Ene.12</t>
  </si>
  <si>
    <t>Feb.12</t>
  </si>
  <si>
    <t>Mar.12</t>
  </si>
  <si>
    <t>Abr.12</t>
  </si>
  <si>
    <t>May.12</t>
  </si>
  <si>
    <t>Jun.12</t>
  </si>
  <si>
    <t>Jul.12</t>
  </si>
  <si>
    <t>Ago.12</t>
  </si>
  <si>
    <t>Sep.12</t>
  </si>
  <si>
    <t>Oct.12</t>
  </si>
  <si>
    <t>Nov.12</t>
  </si>
  <si>
    <t>Dic.12</t>
  </si>
  <si>
    <t>Ene.13</t>
  </si>
  <si>
    <t>Feb.13</t>
  </si>
  <si>
    <t>Mar.13</t>
  </si>
  <si>
    <t>Abr.13</t>
  </si>
  <si>
    <t>May.13</t>
  </si>
  <si>
    <t>Jun.13</t>
  </si>
  <si>
    <t>Jul.13</t>
  </si>
  <si>
    <t>Ago.13</t>
  </si>
  <si>
    <t>Sep.13</t>
  </si>
  <si>
    <t>Oct.13</t>
  </si>
  <si>
    <t>Nov.13</t>
  </si>
  <si>
    <t>Dic.13</t>
  </si>
  <si>
    <t>Ene.14</t>
  </si>
  <si>
    <t>Feb.14</t>
  </si>
  <si>
    <t>Mar.14</t>
  </si>
  <si>
    <t>Abr.14</t>
  </si>
  <si>
    <t>May.14</t>
  </si>
  <si>
    <t>Jun.14</t>
  </si>
  <si>
    <t>Jul.14</t>
  </si>
  <si>
    <t>Ago.14</t>
  </si>
  <si>
    <t>Sep.14</t>
  </si>
  <si>
    <t>Oct.14</t>
  </si>
  <si>
    <t>Nov.14</t>
  </si>
  <si>
    <t>Dic.14</t>
  </si>
  <si>
    <t>PN01206PM</t>
  </si>
  <si>
    <t>PN01270PM</t>
  </si>
  <si>
    <t>PN01709BM</t>
  </si>
  <si>
    <t>Términos de Intercambio</t>
  </si>
  <si>
    <t>Índice de Precios al Consumidor (IPC)</t>
  </si>
  <si>
    <t>Ago.20</t>
  </si>
  <si>
    <t>Interbancario - Venta</t>
  </si>
  <si>
    <t>PN00179MM</t>
  </si>
  <si>
    <t>Circulante</t>
  </si>
  <si>
    <t>Sep.20</t>
  </si>
  <si>
    <t>Oct.20</t>
  </si>
  <si>
    <t>Nov.20</t>
  </si>
  <si>
    <t>Dic.20</t>
  </si>
  <si>
    <t>Ene.21</t>
  </si>
  <si>
    <t>Feb.21</t>
  </si>
  <si>
    <t>Mar.21</t>
  </si>
  <si>
    <t>Abr.21</t>
  </si>
  <si>
    <t>May.21</t>
  </si>
  <si>
    <t>Jun.21</t>
  </si>
  <si>
    <t>Jul.21</t>
  </si>
  <si>
    <t>Ago.21</t>
  </si>
  <si>
    <t>Sep.21</t>
  </si>
  <si>
    <t>Oct.21</t>
  </si>
  <si>
    <t>Nov.21</t>
  </si>
  <si>
    <t>Dic.21</t>
  </si>
  <si>
    <t>Ene.22</t>
  </si>
  <si>
    <t>Feb.22</t>
  </si>
  <si>
    <t>Mar.22</t>
  </si>
  <si>
    <t>T1.20</t>
  </si>
  <si>
    <t>T2.20</t>
  </si>
  <si>
    <t>T3.20</t>
  </si>
  <si>
    <t>T4.20</t>
  </si>
  <si>
    <t>T1.21</t>
  </si>
  <si>
    <t>T2.21</t>
  </si>
  <si>
    <t>T3.21</t>
  </si>
  <si>
    <t>T4.21</t>
  </si>
  <si>
    <t>PN01770AM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</si>
</sst>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 vertical="center" wrapText="1"/>
    </xf>
    <xf numFmtId="14" fontId="0" fillId="0" borderId="0" xfId="0" applyNumberFormat="1"/>
    <xf numFmtId="17" fontId="0" fillId="0" borderId="0" xfId="0" applyNumberFormat="1"/>
    <xf numFmtId="14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/>
    </xf>
    <xf numFmtId="3" fontId="0" fillId="0" borderId="0" xfId="0" applyNumberFormat="1" applyAlignment="1">
      <alignment horizontal="center"/>
    </xf>
  </cellXfs>
  <cellStyles count="1">
    <cellStyle name="Normal" xfId="0" builtinId="0"/>
  </cellStyles>
  <dxfs count="49"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47625</xdr:rowOff>
    </xdr:from>
    <xdr:to>
      <xdr:col>4</xdr:col>
      <xdr:colOff>790575</xdr:colOff>
      <xdr:row>4</xdr:row>
      <xdr:rowOff>123825</xdr:rowOff>
    </xdr:to>
    <xdr:pic>
      <xdr:nvPicPr>
        <xdr:cNvPr id="3" name="Imagen 2" descr="Banco Central de Reserva del Perú">
          <a:extLst>
            <a:ext uri="{FF2B5EF4-FFF2-40B4-BE49-F238E27FC236}">
              <a16:creationId xmlns:a16="http://schemas.microsoft.com/office/drawing/2014/main" id="{D1319891-2754-4974-8709-EF7BBEDFD6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7625"/>
          <a:ext cx="5848350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582233</xdr:colOff>
      <xdr:row>0</xdr:row>
      <xdr:rowOff>188398</xdr:rowOff>
    </xdr:from>
    <xdr:to>
      <xdr:col>5</xdr:col>
      <xdr:colOff>1026296</xdr:colOff>
      <xdr:row>3</xdr:row>
      <xdr:rowOff>61062</xdr:rowOff>
    </xdr:to>
    <xdr:pic macro="[0]!BCRPGetResults">
      <xdr:nvPicPr>
        <xdr:cNvPr id="4" name="16 Imagen" descr="https://encrypted-tbn1.gstatic.com/images?q=tbn:ANd9GcRSnfFQIkQGHOFoxWJUyRTTVUDCuqCsBOHfhqiJ8srwKIO7pTqUSQ">
          <a:extLst>
            <a:ext uri="{FF2B5EF4-FFF2-40B4-BE49-F238E27FC236}">
              <a16:creationId xmlns:a16="http://schemas.microsoft.com/office/drawing/2014/main" id="{B2783E28-1A97-426A-AEFB-B6C93B4AD1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606750">
          <a:off x="6916308" y="188448"/>
          <a:ext cx="444164" cy="4440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47625</xdr:rowOff>
    </xdr:from>
    <xdr:to>
      <xdr:col>4</xdr:col>
      <xdr:colOff>790575</xdr:colOff>
      <xdr:row>4</xdr:row>
      <xdr:rowOff>123825</xdr:rowOff>
    </xdr:to>
    <xdr:pic>
      <xdr:nvPicPr>
        <xdr:cNvPr id="2" name="Imagen 1" descr="Banco Central de Reserva del Perú">
          <a:extLst>
            <a:ext uri="{FF2B5EF4-FFF2-40B4-BE49-F238E27FC236}">
              <a16:creationId xmlns:a16="http://schemas.microsoft.com/office/drawing/2014/main" id="{0F3A6D15-6363-4697-8EB6-3209DAB67A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7625"/>
          <a:ext cx="5848350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582233</xdr:colOff>
      <xdr:row>0</xdr:row>
      <xdr:rowOff>188398</xdr:rowOff>
    </xdr:from>
    <xdr:to>
      <xdr:col>5</xdr:col>
      <xdr:colOff>1026296</xdr:colOff>
      <xdr:row>3</xdr:row>
      <xdr:rowOff>61062</xdr:rowOff>
    </xdr:to>
    <xdr:pic macro="[0]!BCRPGetResults">
      <xdr:nvPicPr>
        <xdr:cNvPr id="3" name="16 Imagen" descr="https://encrypted-tbn1.gstatic.com/images?q=tbn:ANd9GcRSnfFQIkQGHOFoxWJUyRTTVUDCuqCsBOHfhqiJ8srwKIO7pTqUSQ">
          <a:extLst>
            <a:ext uri="{FF2B5EF4-FFF2-40B4-BE49-F238E27FC236}">
              <a16:creationId xmlns:a16="http://schemas.microsoft.com/office/drawing/2014/main" id="{7435BD27-35DF-4102-B1EA-E7A23CFE3B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606750">
          <a:off x="7525908" y="188448"/>
          <a:ext cx="444164" cy="4440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47625</xdr:rowOff>
    </xdr:from>
    <xdr:to>
      <xdr:col>4</xdr:col>
      <xdr:colOff>790575</xdr:colOff>
      <xdr:row>4</xdr:row>
      <xdr:rowOff>123825</xdr:rowOff>
    </xdr:to>
    <xdr:pic>
      <xdr:nvPicPr>
        <xdr:cNvPr id="2" name="Imagen 1" descr="Banco Central de Reserva del Perú">
          <a:extLst>
            <a:ext uri="{FF2B5EF4-FFF2-40B4-BE49-F238E27FC236}">
              <a16:creationId xmlns:a16="http://schemas.microsoft.com/office/drawing/2014/main" id="{6E8CE6D8-5B5D-42BE-9F01-5C5F8BD9D0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7625"/>
          <a:ext cx="5848350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191708</xdr:colOff>
      <xdr:row>0</xdr:row>
      <xdr:rowOff>188398</xdr:rowOff>
    </xdr:from>
    <xdr:to>
      <xdr:col>5</xdr:col>
      <xdr:colOff>635771</xdr:colOff>
      <xdr:row>3</xdr:row>
      <xdr:rowOff>61062</xdr:rowOff>
    </xdr:to>
    <xdr:pic macro="[0]!BCRPGetResults">
      <xdr:nvPicPr>
        <xdr:cNvPr id="3" name="16 Imagen" descr="https://encrypted-tbn1.gstatic.com/images?q=tbn:ANd9GcRSnfFQIkQGHOFoxWJUyRTTVUDCuqCsBOHfhqiJ8srwKIO7pTqUSQ">
          <a:extLst>
            <a:ext uri="{FF2B5EF4-FFF2-40B4-BE49-F238E27FC236}">
              <a16:creationId xmlns:a16="http://schemas.microsoft.com/office/drawing/2014/main" id="{BFEC0E94-0F5F-4978-8880-18D38F9BE4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606750">
          <a:off x="8030733" y="188448"/>
          <a:ext cx="444164" cy="4440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7C8556-E2FE-42FF-BA29-D7E011D2AAC9}" name="Tabla2" displayName="Tabla2" ref="A7:Y238" totalsRowShown="0" headerRowDxfId="48" dataDxfId="47">
  <autoFilter ref="A7:Y238" xr:uid="{4B408196-B2E3-4124-8A55-F20D9ED0EC17}"/>
  <tableColumns count="25">
    <tableColumn id="1" xr3:uid="{ED8CD0D5-EF83-4A48-A30E-37904ACF9C93}" name="Fecha" dataDxfId="46"/>
    <tableColumn id="2" xr3:uid="{AD58DB5C-928D-4092-81C0-E438A4C20895}" name="PEA Ocupada - Por Tamaño de Empresa - De 1 a 10 trabajadores" dataDxfId="45"/>
    <tableColumn id="3" xr3:uid="{08924D9C-3111-4441-A93F-B87FC9E0F603}" name="PEA Ocupada - Por Tamaño de Empresa - De 11 a 50 trabajadores" dataDxfId="44"/>
    <tableColumn id="4" xr3:uid="{9753DB7E-39E3-4603-9342-80676A80D5CC}" name="PEA Ocupada - Por Tamaño de Empresa - De 51 y más" dataDxfId="43"/>
    <tableColumn id="5" xr3:uid="{4E8A6FC3-B8AC-4D96-92D0-04021F220704}" name="PEA" dataDxfId="42"/>
    <tableColumn id="6" xr3:uid="{42654142-501E-4274-BFC2-78A671161D3F}" name="PEA Ocupada" dataDxfId="41"/>
    <tableColumn id="7" xr3:uid="{FC52BA2A-A126-49F4-9A9D-F89BFA4E1C0C}" name="PEA Adecuadamente Empleada" dataDxfId="40"/>
    <tableColumn id="8" xr3:uid="{4C07478F-5E59-4629-A656-92C7FAFAC987}" name="PEA Subempleada" dataDxfId="39"/>
    <tableColumn id="31" xr3:uid="{CDF19CEE-3354-4F88-B98F-A6A9255AEF1D}" name="Tasa de Desempleo (%)" dataDxfId="38"/>
    <tableColumn id="9" xr3:uid="{63197B6D-A164-4E9B-A2CB-C9E141C2D56E}" name="PBI" dataDxfId="37"/>
    <tableColumn id="10" xr3:uid="{673D6BA1-31E3-4A2D-9192-08C9DC697349}" name="Agropecuario - Agrícola" dataDxfId="36"/>
    <tableColumn id="11" xr3:uid="{509C75CF-B364-439B-8966-DADCD37C60D0}" name="Agropecuario - Pecuario" dataDxfId="35"/>
    <tableColumn id="12" xr3:uid="{CA010FFF-DF9A-46AC-AFAC-A8BDA521192D}" name="Pesca" dataDxfId="34"/>
    <tableColumn id="13" xr3:uid="{48AB5836-7344-499D-9047-AA47EAD7297E}" name="Minería e Hidrocarburos" dataDxfId="33"/>
    <tableColumn id="14" xr3:uid="{E5C10958-373C-41EB-B54D-F2340EBFD2F9}" name="Minería e Hidrocarburos - Minería Metálica" dataDxfId="32"/>
    <tableColumn id="15" xr3:uid="{BDFCB6AC-0276-4E2A-9B98-3307F7029FB4}" name="Minería e Hidrocarburos - Hidrocarburos" dataDxfId="31"/>
    <tableColumn id="16" xr3:uid="{8147A0D0-5535-473E-B9FD-92D2708969DC}" name="Manufactura" dataDxfId="30"/>
    <tableColumn id="17" xr3:uid="{5BFA4274-4B86-404F-8E68-7BF23FDC392C}" name="Manufactura - Procesadores Recursos Primarios" dataDxfId="29"/>
    <tableColumn id="18" xr3:uid="{84BE1D7C-95A9-42EC-90EA-EBE799570D60}" name="Manufactura - Manufactura no Primaria" dataDxfId="28"/>
    <tableColumn id="19" xr3:uid="{5214564E-92EC-44AD-B6C8-F4357CF89A34}" name="Electricidad y Agua" dataDxfId="27"/>
    <tableColumn id="20" xr3:uid="{A2EBC4DF-68FC-4FEE-9381-5337F8DD8F22}" name="Construcción" dataDxfId="26"/>
    <tableColumn id="21" xr3:uid="{0E700C6C-86FD-4CE1-BA6E-150FEECD58AA}" name="Términos de Intercambio" dataDxfId="25"/>
    <tableColumn id="22" xr3:uid="{7797A7AB-61B8-4B31-9D08-DC31D1E327D7}" name="Índice de Precios al Consumidor (IPC)" dataDxfId="24"/>
    <tableColumn id="23" xr3:uid="{91699375-91DF-41A1-8920-5DD2F4556B26}" name="Interbancario - Venta" dataDxfId="23"/>
    <tableColumn id="24" xr3:uid="{58B1311C-9D82-4AC7-A154-638F333B522B}" name="Circulante" dataDxfId="2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179DB2-05E8-4D34-9FE7-EAFE8E0D73C0}" name="Tabla22" displayName="Tabla22" ref="A7:M47" totalsRowShown="0" headerRowDxfId="21" dataDxfId="20">
  <autoFilter ref="A7:M47" xr:uid="{4B408196-B2E3-4124-8A55-F20D9ED0EC17}"/>
  <tableColumns count="13">
    <tableColumn id="1" xr3:uid="{D3D0EAD0-979C-4345-AD31-96711F582375}" name="Fecha" dataDxfId="19"/>
    <tableColumn id="2" xr3:uid="{E2375444-ABD6-4649-BC44-876180776FAE}" name="Demanda Interna" dataDxfId="18"/>
    <tableColumn id="3" xr3:uid="{E33BBC05-6A65-420B-97D2-26DB82491195}" name="Demanda Interna - Consumo Privado" dataDxfId="17"/>
    <tableColumn id="4" xr3:uid="{6DA08EBB-A1B7-430A-BF5E-2BF6CF6A0378}" name="Demanda Interna - Consumo Público" dataDxfId="16"/>
    <tableColumn id="5" xr3:uid="{1B422B95-4752-4665-9E25-1F9771A8414D}" name="Demanda Interna - Inversión Bruta Interna" dataDxfId="15"/>
    <tableColumn id="6" xr3:uid="{FF8B24EE-7F6B-486E-AA25-90C01B2D2A2A}" name="Demanda Interna - Inversión Bruta Interna - Inversión Bruta Fija" dataDxfId="14"/>
    <tableColumn id="7" xr3:uid="{25F26694-40B7-40A4-A2B2-81C407221C9C}" name="Demanda Interna - Inversión Bruta Interna - Inversión Bruta Fija - Privada" dataDxfId="13"/>
    <tableColumn id="8" xr3:uid="{45C8736F-6A55-48C7-A1E4-9DAFD0427B7E}" name="Demanda Interna - Inversión Bruta Interna - Inversión Bruta Fija - Pública" dataDxfId="12"/>
    <tableColumn id="9" xr3:uid="{EB49CFF6-0F7F-4F2D-90BF-5DC5236B27B7}" name="Demanda Interna - Inversión Bruta Interna - Variación de Inventarios" dataDxfId="11"/>
    <tableColumn id="10" xr3:uid="{C5FAA909-F2DD-4BD1-8DAA-30BC1EA6E6EF}" name="Exportaciones" dataDxfId="10"/>
    <tableColumn id="11" xr3:uid="{4C3319A9-27AD-4BC1-AD19-2DE5C339F0AB}" name="Importaciones" dataDxfId="9"/>
    <tableColumn id="12" xr3:uid="{70EC38B6-3C18-403A-83EC-59A8650A9F23}" name="PBI" dataDxfId="8"/>
    <tableColumn id="13" xr3:uid="{4E7D04EC-C3DF-47A2-82E1-74D6F528CC88}" name="Demanda Interna sin Inventarios" dataDxfId="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D161B4-CA73-4B7E-9C19-DC369CF66847}" name="Tabla224" displayName="Tabla224" ref="A7:E422" totalsRowShown="0" headerRowDxfId="6" dataDxfId="5">
  <autoFilter ref="A7:E422" xr:uid="{4B408196-B2E3-4124-8A55-F20D9ED0EC17}"/>
  <tableColumns count="5">
    <tableColumn id="1" xr3:uid="{7337788A-871A-4785-9426-B93C7C9D0DC8}" name="Fecha" dataDxfId="4"/>
    <tableColumn id="2" xr3:uid="{7B0D91C3-A607-4810-A704-2ED7D6DED450}" name="TC Interbancario (S/ por US$) - Compra" dataDxfId="3"/>
    <tableColumn id="3" xr3:uid="{FE02AF37-B73E-4C31-A4C9-D4922895A07D}" name="TC Interbancario (S/ por US$) - Venta" dataDxfId="2"/>
    <tableColumn id="4" xr3:uid="{0516FAB3-E1BF-4F56-85B4-5DBEAC67C42D}" name="TC Sistema bancario SBS (S/ por US$) - Compra" dataDxfId="1"/>
    <tableColumn id="5" xr3:uid="{2690BAF4-E9F1-4B79-A08B-46C6C353FA8A}" name="TC Sistema bancario SBS (S/ por US$) - Vent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C33E5-2CDF-4DB0-9002-D9154A372641}">
  <sheetPr codeName="Hoja2"/>
  <dimension ref="A1:AB238"/>
  <sheetViews>
    <sheetView showGridLines="0" tabSelected="1" workbookViewId="0">
      <selection activeCell="C8" sqref="C8"/>
    </sheetView>
  </sheetViews>
  <sheetFormatPr baseColWidth="10" defaultRowHeight="14.4" x14ac:dyDescent="0.3"/>
  <cols>
    <col min="1" max="1" width="16.109375" style="3" customWidth="1"/>
    <col min="2" max="6" width="20.33203125" style="4" customWidth="1"/>
    <col min="7" max="7" width="20.33203125" style="3" customWidth="1"/>
    <col min="8" max="23" width="20.33203125" style="2" customWidth="1"/>
    <col min="24" max="71" width="20.33203125" customWidth="1"/>
  </cols>
  <sheetData>
    <row r="1" spans="1:28" x14ac:dyDescent="0.3">
      <c r="A1"/>
    </row>
    <row r="6" spans="1:28" x14ac:dyDescent="0.3">
      <c r="A6"/>
      <c r="B6" s="6" t="s">
        <v>4</v>
      </c>
      <c r="C6" s="6" t="s">
        <v>6</v>
      </c>
      <c r="D6" s="6" t="s">
        <v>8</v>
      </c>
      <c r="E6" s="6" t="s">
        <v>0</v>
      </c>
      <c r="F6" s="6" t="s">
        <v>2</v>
      </c>
      <c r="G6" s="2" t="s">
        <v>10</v>
      </c>
      <c r="H6" s="2" t="s">
        <v>12</v>
      </c>
      <c r="I6" s="2" t="s">
        <v>94</v>
      </c>
      <c r="J6" s="2" t="s">
        <v>732</v>
      </c>
      <c r="K6" s="2" t="s">
        <v>570</v>
      </c>
      <c r="L6" s="2" t="s">
        <v>571</v>
      </c>
      <c r="M6" s="2" t="s">
        <v>572</v>
      </c>
      <c r="N6" s="2" t="s">
        <v>573</v>
      </c>
      <c r="O6" s="2" t="s">
        <v>574</v>
      </c>
      <c r="P6" s="2" t="s">
        <v>575</v>
      </c>
      <c r="Q6" s="2" t="s">
        <v>576</v>
      </c>
      <c r="R6" s="2" t="s">
        <v>577</v>
      </c>
      <c r="S6" s="2" t="s">
        <v>578</v>
      </c>
      <c r="T6" s="2" t="s">
        <v>579</v>
      </c>
      <c r="U6" s="2" t="s">
        <v>580</v>
      </c>
      <c r="V6" s="2" t="s">
        <v>698</v>
      </c>
      <c r="W6" s="2" t="s">
        <v>697</v>
      </c>
      <c r="X6" s="2" t="s">
        <v>696</v>
      </c>
      <c r="Y6" s="2" t="s">
        <v>703</v>
      </c>
    </row>
    <row r="7" spans="1:28" s="1" customFormat="1" ht="57.6" x14ac:dyDescent="0.3">
      <c r="A7" s="5" t="s">
        <v>81</v>
      </c>
      <c r="B7" s="7" t="s">
        <v>5</v>
      </c>
      <c r="C7" s="7" t="s">
        <v>7</v>
      </c>
      <c r="D7" s="7" t="s">
        <v>9</v>
      </c>
      <c r="E7" s="7" t="s">
        <v>1</v>
      </c>
      <c r="F7" s="7" t="s">
        <v>3</v>
      </c>
      <c r="G7" s="5" t="s">
        <v>11</v>
      </c>
      <c r="H7" s="5" t="s">
        <v>13</v>
      </c>
      <c r="I7" s="5" t="s">
        <v>95</v>
      </c>
      <c r="J7" s="7" t="s">
        <v>93</v>
      </c>
      <c r="K7" s="7" t="s">
        <v>82</v>
      </c>
      <c r="L7" s="7" t="s">
        <v>83</v>
      </c>
      <c r="M7" s="7" t="s">
        <v>84</v>
      </c>
      <c r="N7" s="7" t="s">
        <v>85</v>
      </c>
      <c r="O7" s="7" t="s">
        <v>86</v>
      </c>
      <c r="P7" s="7" t="s">
        <v>87</v>
      </c>
      <c r="Q7" s="7" t="s">
        <v>88</v>
      </c>
      <c r="R7" s="7" t="s">
        <v>89</v>
      </c>
      <c r="S7" s="7" t="s">
        <v>90</v>
      </c>
      <c r="T7" s="7" t="s">
        <v>91</v>
      </c>
      <c r="U7" s="7" t="s">
        <v>92</v>
      </c>
      <c r="V7" s="7" t="s">
        <v>699</v>
      </c>
      <c r="W7" s="7" t="s">
        <v>700</v>
      </c>
      <c r="X7" s="7" t="s">
        <v>702</v>
      </c>
      <c r="Y7" s="7" t="s">
        <v>704</v>
      </c>
    </row>
    <row r="8" spans="1:28" x14ac:dyDescent="0.3">
      <c r="A8" s="3" t="s">
        <v>588</v>
      </c>
      <c r="B8" s="4">
        <v>2477.4227792410002</v>
      </c>
      <c r="C8" s="4">
        <v>354.87040036483597</v>
      </c>
      <c r="D8" s="4">
        <v>927.76882938586402</v>
      </c>
      <c r="E8" s="4">
        <v>4126.1149220206198</v>
      </c>
      <c r="F8" s="4">
        <v>3760.0620089917002</v>
      </c>
      <c r="G8" s="4">
        <v>1513.5129378934701</v>
      </c>
      <c r="H8" s="4">
        <v>2246.5490710982399</v>
      </c>
      <c r="I8" s="4">
        <v>8.8716121568821205</v>
      </c>
      <c r="J8" s="4">
        <v>85.659042491957806</v>
      </c>
      <c r="K8" s="4">
        <v>75.608089581865599</v>
      </c>
      <c r="L8" s="4">
        <v>86.870240007103604</v>
      </c>
      <c r="M8" s="4">
        <v>64.349747506427406</v>
      </c>
      <c r="N8" s="4">
        <v>96.341833716454403</v>
      </c>
      <c r="O8" s="4">
        <v>97.124829879567699</v>
      </c>
      <c r="P8" s="4">
        <v>96.887161463634499</v>
      </c>
      <c r="Q8" s="4">
        <v>85.620826500616701</v>
      </c>
      <c r="R8" s="4">
        <v>92.802020650722696</v>
      </c>
      <c r="S8" s="4">
        <v>83.067009115238704</v>
      </c>
      <c r="T8" s="4">
        <v>90.987779520760597</v>
      </c>
      <c r="U8" s="4">
        <v>74.709008088413896</v>
      </c>
      <c r="V8" s="4">
        <v>82.153015694153694</v>
      </c>
      <c r="W8" s="4">
        <v>89.526347000000001</v>
      </c>
      <c r="X8" s="4">
        <v>3.3947363636363601</v>
      </c>
      <c r="Y8" s="4">
        <v>-8.2610214363618493</v>
      </c>
    </row>
    <row r="9" spans="1:28" x14ac:dyDescent="0.3">
      <c r="A9" s="3" t="s">
        <v>589</v>
      </c>
      <c r="B9" s="4">
        <v>2511.6682635892598</v>
      </c>
      <c r="C9" s="4">
        <v>329.83312857322602</v>
      </c>
      <c r="D9" s="4">
        <v>930.30377618310001</v>
      </c>
      <c r="E9" s="4">
        <v>4143.4492365899096</v>
      </c>
      <c r="F9" s="4">
        <v>3771.8051683455801</v>
      </c>
      <c r="G9" s="4">
        <v>1509.84962430819</v>
      </c>
      <c r="H9" s="4">
        <v>2261.9555440373902</v>
      </c>
      <c r="I9" s="4">
        <v>8.9694369841057107</v>
      </c>
      <c r="J9" s="4">
        <v>84.628522085495106</v>
      </c>
      <c r="K9" s="4">
        <v>76.437639795915103</v>
      </c>
      <c r="L9" s="4">
        <v>90.270361249932506</v>
      </c>
      <c r="M9" s="4">
        <v>50.624755520773697</v>
      </c>
      <c r="N9" s="4">
        <v>88.548135143670194</v>
      </c>
      <c r="O9" s="4">
        <v>87.6894626354309</v>
      </c>
      <c r="P9" s="4">
        <v>88.846545406081106</v>
      </c>
      <c r="Q9" s="4">
        <v>79.521505078708302</v>
      </c>
      <c r="R9" s="4">
        <v>80.397317485559697</v>
      </c>
      <c r="S9" s="4">
        <v>79.210043655413799</v>
      </c>
      <c r="T9" s="4">
        <v>84.570912035182602</v>
      </c>
      <c r="U9" s="4">
        <v>79.437501543583707</v>
      </c>
      <c r="V9" s="4">
        <v>82.988053633729393</v>
      </c>
      <c r="W9" s="4">
        <v>90.017200000000003</v>
      </c>
      <c r="X9" s="4">
        <v>3.2894649999999999</v>
      </c>
      <c r="Y9" s="4">
        <v>0.34194699023313302</v>
      </c>
      <c r="Z9" s="9"/>
      <c r="AA9" s="8"/>
    </row>
    <row r="10" spans="1:28" x14ac:dyDescent="0.3">
      <c r="A10" s="3" t="s">
        <v>590</v>
      </c>
      <c r="B10" s="4">
        <v>2535.6313156394499</v>
      </c>
      <c r="C10" s="4">
        <v>317.21015295023602</v>
      </c>
      <c r="D10" s="4">
        <v>937.84608426757404</v>
      </c>
      <c r="E10" s="4">
        <v>4166.2337733527902</v>
      </c>
      <c r="F10" s="4">
        <v>3790.68755285724</v>
      </c>
      <c r="G10" s="4">
        <v>1458.6810968254499</v>
      </c>
      <c r="H10" s="4">
        <v>2332.0064560317901</v>
      </c>
      <c r="I10" s="4">
        <v>9.0140458007306599</v>
      </c>
      <c r="J10" s="4">
        <v>91.228692840067893</v>
      </c>
      <c r="K10" s="4">
        <v>92.889902757484705</v>
      </c>
      <c r="L10" s="4">
        <v>93.198479417859204</v>
      </c>
      <c r="M10" s="4">
        <v>88.799171360566604</v>
      </c>
      <c r="N10" s="4">
        <v>98.035496402046704</v>
      </c>
      <c r="O10" s="4">
        <v>101.24571707430501</v>
      </c>
      <c r="P10" s="4">
        <v>86.024216981716407</v>
      </c>
      <c r="Q10" s="4">
        <v>90.742747954575606</v>
      </c>
      <c r="R10" s="4">
        <v>104.435061322153</v>
      </c>
      <c r="S10" s="4">
        <v>85.873409068417502</v>
      </c>
      <c r="T10" s="4">
        <v>94.160006691651503</v>
      </c>
      <c r="U10" s="4">
        <v>77.371207162893995</v>
      </c>
      <c r="V10" s="4">
        <v>84.497504089123595</v>
      </c>
      <c r="W10" s="4">
        <v>90.428725</v>
      </c>
      <c r="X10" s="4">
        <v>3.3421739130434802</v>
      </c>
      <c r="Y10" s="4">
        <v>0.26205999742263097</v>
      </c>
      <c r="Z10" s="9"/>
      <c r="AA10" s="9"/>
      <c r="AB10" s="8"/>
    </row>
    <row r="11" spans="1:28" x14ac:dyDescent="0.3">
      <c r="A11" s="3" t="s">
        <v>591</v>
      </c>
      <c r="B11" s="4">
        <v>2547.0547372236301</v>
      </c>
      <c r="C11" s="4">
        <v>335.07373692914598</v>
      </c>
      <c r="D11" s="4">
        <v>944.50948325564798</v>
      </c>
      <c r="E11" s="4">
        <v>4191.5243253306899</v>
      </c>
      <c r="F11" s="4">
        <v>3826.6379574084199</v>
      </c>
      <c r="G11" s="4">
        <v>1468.29396936423</v>
      </c>
      <c r="H11" s="4">
        <v>2358.3439880441802</v>
      </c>
      <c r="I11" s="4">
        <v>8.7053381920546293</v>
      </c>
      <c r="J11" s="4">
        <v>91.778002363801903</v>
      </c>
      <c r="K11" s="4">
        <v>147.062896322456</v>
      </c>
      <c r="L11" s="4">
        <v>93.137438387384094</v>
      </c>
      <c r="M11" s="4">
        <v>91.5307525066642</v>
      </c>
      <c r="N11" s="4">
        <v>95.299253721141994</v>
      </c>
      <c r="O11" s="4">
        <v>95.905101356072905</v>
      </c>
      <c r="P11" s="4">
        <v>95.552940385755093</v>
      </c>
      <c r="Q11" s="4">
        <v>84.293904827190502</v>
      </c>
      <c r="R11" s="4">
        <v>102.004337192582</v>
      </c>
      <c r="S11" s="4">
        <v>77.995619454049603</v>
      </c>
      <c r="T11" s="4">
        <v>88.282916080701497</v>
      </c>
      <c r="U11" s="4">
        <v>73.104438859215804</v>
      </c>
      <c r="V11" s="4">
        <v>91.498638014142102</v>
      </c>
      <c r="W11" s="4">
        <v>90.889917999999994</v>
      </c>
      <c r="X11" s="4">
        <v>3.3332666666666699</v>
      </c>
      <c r="Y11" s="4">
        <v>0.96768705828643398</v>
      </c>
      <c r="Z11" s="9"/>
      <c r="AA11" s="9"/>
      <c r="AB11" s="8"/>
    </row>
    <row r="12" spans="1:28" x14ac:dyDescent="0.3">
      <c r="A12" s="3" t="s">
        <v>592</v>
      </c>
      <c r="B12" s="4">
        <v>2477.8110039079902</v>
      </c>
      <c r="C12" s="4">
        <v>353.82861336552401</v>
      </c>
      <c r="D12" s="4">
        <v>944.97704978335298</v>
      </c>
      <c r="E12" s="4">
        <v>4143.05766593729</v>
      </c>
      <c r="F12" s="4">
        <v>3776.61666705688</v>
      </c>
      <c r="G12" s="4">
        <v>1467.95480178348</v>
      </c>
      <c r="H12" s="4">
        <v>2308.66186527339</v>
      </c>
      <c r="I12" s="4">
        <v>8.8446994569530304</v>
      </c>
      <c r="J12" s="4">
        <v>97.7619063414799</v>
      </c>
      <c r="K12" s="4">
        <v>158.06051579888299</v>
      </c>
      <c r="L12" s="4">
        <v>96.921517013814196</v>
      </c>
      <c r="M12" s="4">
        <v>183.05003386520301</v>
      </c>
      <c r="N12" s="4">
        <v>95.5734524793221</v>
      </c>
      <c r="O12" s="4">
        <v>95.585333740657006</v>
      </c>
      <c r="P12" s="4">
        <v>99.805169963067499</v>
      </c>
      <c r="Q12" s="4">
        <v>95.475378116197206</v>
      </c>
      <c r="R12" s="4">
        <v>124.04662477597699</v>
      </c>
      <c r="S12" s="4">
        <v>85.3147077713366</v>
      </c>
      <c r="T12" s="4">
        <v>91.712907469876299</v>
      </c>
      <c r="U12" s="4">
        <v>77.157532847951202</v>
      </c>
      <c r="V12" s="4">
        <v>98.789619789121005</v>
      </c>
      <c r="W12" s="4">
        <v>90.410062999999994</v>
      </c>
      <c r="X12" s="4">
        <v>3.2803409090909099</v>
      </c>
      <c r="Y12" s="4">
        <v>-1.9440409517874799</v>
      </c>
      <c r="Z12" s="9"/>
      <c r="AA12" s="9"/>
      <c r="AB12" s="8"/>
    </row>
    <row r="13" spans="1:28" x14ac:dyDescent="0.3">
      <c r="A13" s="3" t="s">
        <v>593</v>
      </c>
      <c r="B13" s="4">
        <v>2433.2883789677298</v>
      </c>
      <c r="C13" s="4">
        <v>370.74857049817399</v>
      </c>
      <c r="D13" s="4">
        <v>951.30917330087198</v>
      </c>
      <c r="E13" s="4">
        <v>4124.0799956237997</v>
      </c>
      <c r="F13" s="4">
        <v>3755.3461227667699</v>
      </c>
      <c r="G13" s="4">
        <v>1497.27309685828</v>
      </c>
      <c r="H13" s="4">
        <v>2258.0730259084999</v>
      </c>
      <c r="I13" s="4">
        <v>8.9409971011305593</v>
      </c>
      <c r="J13" s="4">
        <v>95.072899809632005</v>
      </c>
      <c r="K13" s="4">
        <v>144.00387243434801</v>
      </c>
      <c r="L13" s="4">
        <v>95.424927407919</v>
      </c>
      <c r="M13" s="4">
        <v>175.13006808639801</v>
      </c>
      <c r="N13" s="4">
        <v>95.681995218690105</v>
      </c>
      <c r="O13" s="4">
        <v>95.400087959666493</v>
      </c>
      <c r="P13" s="4">
        <v>101.84573050098599</v>
      </c>
      <c r="Q13" s="4">
        <v>95.376744934773001</v>
      </c>
      <c r="R13" s="4">
        <v>122.410432515956</v>
      </c>
      <c r="S13" s="4">
        <v>85.762870153977204</v>
      </c>
      <c r="T13" s="4">
        <v>88.383895877555005</v>
      </c>
      <c r="U13" s="4">
        <v>80.306860166912102</v>
      </c>
      <c r="V13" s="4">
        <v>97.068228230383795</v>
      </c>
      <c r="W13" s="4">
        <v>90.290235999999993</v>
      </c>
      <c r="X13" s="4">
        <v>3.2655190476190499</v>
      </c>
      <c r="Y13" s="4">
        <v>1.23712951440671</v>
      </c>
      <c r="Z13" s="9"/>
      <c r="AA13" s="9"/>
      <c r="AB13" s="8"/>
    </row>
    <row r="14" spans="1:28" x14ac:dyDescent="0.3">
      <c r="A14" s="3" t="s">
        <v>594</v>
      </c>
      <c r="B14" s="4">
        <v>2426.7791149176501</v>
      </c>
      <c r="C14" s="4">
        <v>383.55417611170702</v>
      </c>
      <c r="D14" s="4">
        <v>951.98800625350998</v>
      </c>
      <c r="E14" s="4">
        <v>4112.5334495056804</v>
      </c>
      <c r="F14" s="4">
        <v>3762.3212972828701</v>
      </c>
      <c r="G14" s="4">
        <v>1543.1125412561</v>
      </c>
      <c r="H14" s="4">
        <v>2219.2087560267701</v>
      </c>
      <c r="I14" s="4">
        <v>8.5157277508564793</v>
      </c>
      <c r="J14" s="4">
        <v>92.961600123090193</v>
      </c>
      <c r="K14" s="4">
        <v>113.028223713586</v>
      </c>
      <c r="L14" s="4">
        <v>98.384255868549999</v>
      </c>
      <c r="M14" s="4">
        <v>48.931506973651103</v>
      </c>
      <c r="N14" s="4">
        <v>97.436072151921906</v>
      </c>
      <c r="O14" s="4">
        <v>96.998824909729507</v>
      </c>
      <c r="P14" s="4">
        <v>106.851809963363</v>
      </c>
      <c r="Q14" s="4">
        <v>88.709437000279905</v>
      </c>
      <c r="R14" s="4">
        <v>99.019063454375399</v>
      </c>
      <c r="S14" s="4">
        <v>85.043068604595504</v>
      </c>
      <c r="T14" s="4">
        <v>90.410467392696901</v>
      </c>
      <c r="U14" s="4">
        <v>75.750348365690499</v>
      </c>
      <c r="V14" s="4">
        <v>98.025710837051804</v>
      </c>
      <c r="W14" s="4">
        <v>90.136345000000006</v>
      </c>
      <c r="X14" s="4">
        <v>3.2440199999999999</v>
      </c>
      <c r="Y14" s="4">
        <v>8.3153582545725406</v>
      </c>
      <c r="Z14" s="9"/>
      <c r="AA14" s="9"/>
      <c r="AB14" s="8"/>
    </row>
    <row r="15" spans="1:28" x14ac:dyDescent="0.3">
      <c r="A15" s="3" t="s">
        <v>595</v>
      </c>
      <c r="B15" s="4">
        <v>2451.9442403757198</v>
      </c>
      <c r="C15" s="4">
        <v>386.428692369141</v>
      </c>
      <c r="D15" s="4">
        <v>964.38728192011899</v>
      </c>
      <c r="E15" s="4">
        <v>4153.1393601433801</v>
      </c>
      <c r="F15" s="4">
        <v>3802.7602146650001</v>
      </c>
      <c r="G15" s="4">
        <v>1560.99057888436</v>
      </c>
      <c r="H15" s="4">
        <v>2241.7696357806399</v>
      </c>
      <c r="I15" s="4">
        <v>8.4364890049409897</v>
      </c>
      <c r="J15" s="4">
        <v>91.554762729628095</v>
      </c>
      <c r="K15" s="4">
        <v>88.844896736360198</v>
      </c>
      <c r="L15" s="4">
        <v>96.976708447995705</v>
      </c>
      <c r="M15" s="4">
        <v>30.412268914613101</v>
      </c>
      <c r="N15" s="4">
        <v>96.470712602787302</v>
      </c>
      <c r="O15" s="4">
        <v>95.553007725656798</v>
      </c>
      <c r="P15" s="4">
        <v>107.54363645034</v>
      </c>
      <c r="Q15" s="4">
        <v>92.817287029709107</v>
      </c>
      <c r="R15" s="4">
        <v>94.073614634013197</v>
      </c>
      <c r="S15" s="4">
        <v>92.370504612949802</v>
      </c>
      <c r="T15" s="4">
        <v>92.480885398577797</v>
      </c>
      <c r="U15" s="4">
        <v>90.703592215173799</v>
      </c>
      <c r="V15" s="4">
        <v>99.665740484401795</v>
      </c>
      <c r="W15" s="4">
        <v>90.261947000000006</v>
      </c>
      <c r="X15" s="4">
        <v>3.2351772727272698</v>
      </c>
      <c r="Y15" s="4">
        <v>-3.4419014495078102</v>
      </c>
      <c r="Z15" s="9"/>
      <c r="AA15" s="9"/>
      <c r="AB15" s="8"/>
    </row>
    <row r="16" spans="1:28" x14ac:dyDescent="0.3">
      <c r="A16" s="3" t="s">
        <v>596</v>
      </c>
      <c r="B16" s="4">
        <v>2476.5081284615399</v>
      </c>
      <c r="C16" s="4">
        <v>393.49727139868497</v>
      </c>
      <c r="D16" s="4">
        <v>965.36586008102597</v>
      </c>
      <c r="E16" s="4">
        <v>4191.0043952787901</v>
      </c>
      <c r="F16" s="4">
        <v>3835.3712599412702</v>
      </c>
      <c r="G16" s="4">
        <v>1601.63829438628</v>
      </c>
      <c r="H16" s="4">
        <v>2233.7329655550002</v>
      </c>
      <c r="I16" s="4">
        <v>8.48563021642574</v>
      </c>
      <c r="J16" s="4">
        <v>88.769329600050995</v>
      </c>
      <c r="K16" s="4">
        <v>73.237038345414405</v>
      </c>
      <c r="L16" s="4">
        <v>96.485228229560505</v>
      </c>
      <c r="M16" s="4">
        <v>26.455618125908501</v>
      </c>
      <c r="N16" s="4">
        <v>94.316431054547706</v>
      </c>
      <c r="O16" s="4">
        <v>93.767072660227498</v>
      </c>
      <c r="P16" s="4">
        <v>100.313922950603</v>
      </c>
      <c r="Q16" s="4">
        <v>88.590600349469199</v>
      </c>
      <c r="R16" s="4">
        <v>89.045616604860697</v>
      </c>
      <c r="S16" s="4">
        <v>88.428784863164495</v>
      </c>
      <c r="T16" s="4">
        <v>91.030297329962096</v>
      </c>
      <c r="U16" s="4">
        <v>89.053326334280001</v>
      </c>
      <c r="V16" s="4">
        <v>96.400059861835203</v>
      </c>
      <c r="W16" s="4">
        <v>90.286649999999995</v>
      </c>
      <c r="X16" s="4">
        <v>3.2488190476190502</v>
      </c>
      <c r="Y16" s="4">
        <v>1.5990402016047001</v>
      </c>
      <c r="Z16" s="9"/>
      <c r="AA16" s="9"/>
      <c r="AB16" s="8"/>
    </row>
    <row r="17" spans="1:28" x14ac:dyDescent="0.3">
      <c r="A17" s="3" t="s">
        <v>597</v>
      </c>
      <c r="B17" s="4">
        <v>2547.2625713213301</v>
      </c>
      <c r="C17" s="4">
        <v>392.90443741249697</v>
      </c>
      <c r="D17" s="4">
        <v>980.96883909691098</v>
      </c>
      <c r="E17" s="4">
        <v>4267.6719890047898</v>
      </c>
      <c r="F17" s="4">
        <v>3921.1358478307302</v>
      </c>
      <c r="G17" s="4">
        <v>1635.7006244700301</v>
      </c>
      <c r="H17" s="4">
        <v>2285.4352233606901</v>
      </c>
      <c r="I17" s="4">
        <v>8.1200275482011008</v>
      </c>
      <c r="J17" s="4">
        <v>92.182206669817703</v>
      </c>
      <c r="K17" s="4">
        <v>72.554935128890506</v>
      </c>
      <c r="L17" s="4">
        <v>95.068059303562606</v>
      </c>
      <c r="M17" s="4">
        <v>30.795318365555801</v>
      </c>
      <c r="N17" s="4">
        <v>97.8701334898428</v>
      </c>
      <c r="O17" s="4">
        <v>99.761088905634395</v>
      </c>
      <c r="P17" s="4">
        <v>93.676495060632902</v>
      </c>
      <c r="Q17" s="4">
        <v>92.129523155521198</v>
      </c>
      <c r="R17" s="4">
        <v>94.699540349877907</v>
      </c>
      <c r="S17" s="4">
        <v>91.215558924158401</v>
      </c>
      <c r="T17" s="4">
        <v>94.950240036106905</v>
      </c>
      <c r="U17" s="4">
        <v>91.444893818163607</v>
      </c>
      <c r="V17" s="4">
        <v>98.910461986733196</v>
      </c>
      <c r="W17" s="4">
        <v>90.326186000000007</v>
      </c>
      <c r="X17" s="4">
        <v>3.2382318181818199</v>
      </c>
      <c r="Y17" s="4">
        <v>0.94291230223020395</v>
      </c>
      <c r="Z17" s="9"/>
      <c r="AA17" s="9"/>
      <c r="AB17" s="8"/>
    </row>
    <row r="18" spans="1:28" x14ac:dyDescent="0.3">
      <c r="A18" s="3" t="s">
        <v>598</v>
      </c>
      <c r="B18" s="4">
        <v>2623.1341838619401</v>
      </c>
      <c r="C18" s="4">
        <v>394.37361288019099</v>
      </c>
      <c r="D18" s="4">
        <v>970.06327892431705</v>
      </c>
      <c r="E18" s="4">
        <v>4331.6251429803897</v>
      </c>
      <c r="F18" s="4">
        <v>3987.5710756664698</v>
      </c>
      <c r="G18" s="4">
        <v>1685.4852135220499</v>
      </c>
      <c r="H18" s="4">
        <v>2302.0858621444199</v>
      </c>
      <c r="I18" s="4">
        <v>7.9428402956682902</v>
      </c>
      <c r="J18" s="4">
        <v>94.787421231949295</v>
      </c>
      <c r="K18" s="4">
        <v>75.976074052154104</v>
      </c>
      <c r="L18" s="4">
        <v>97.166057871693198</v>
      </c>
      <c r="M18" s="4">
        <v>158.579796516009</v>
      </c>
      <c r="N18" s="4">
        <v>97.702486562428305</v>
      </c>
      <c r="O18" s="4">
        <v>98.242644840816098</v>
      </c>
      <c r="P18" s="4">
        <v>101.51553247385399</v>
      </c>
      <c r="Q18" s="4">
        <v>95.740403342024194</v>
      </c>
      <c r="R18" s="4">
        <v>113.67461478294901</v>
      </c>
      <c r="S18" s="4">
        <v>89.3625363726144</v>
      </c>
      <c r="T18" s="4">
        <v>93.926823081812202</v>
      </c>
      <c r="U18" s="4">
        <v>103.138834728747</v>
      </c>
      <c r="V18" s="4">
        <v>101.52627430303301</v>
      </c>
      <c r="W18" s="4">
        <v>90.071325999999999</v>
      </c>
      <c r="X18" s="4">
        <v>3.2234095238095199</v>
      </c>
      <c r="Y18" s="4">
        <v>1.8074271028091999</v>
      </c>
      <c r="Z18" s="9"/>
      <c r="AA18" s="9"/>
      <c r="AB18" s="8"/>
    </row>
    <row r="19" spans="1:28" x14ac:dyDescent="0.3">
      <c r="A19" s="3" t="s">
        <v>599</v>
      </c>
      <c r="B19" s="4">
        <v>2541.3257678621599</v>
      </c>
      <c r="C19" s="4">
        <v>474.29811593048902</v>
      </c>
      <c r="D19" s="4">
        <v>1049.7898529143999</v>
      </c>
      <c r="E19" s="4">
        <v>4395.0189262665099</v>
      </c>
      <c r="F19" s="4">
        <v>4067.9087066163802</v>
      </c>
      <c r="G19" s="4">
        <v>1766.7380896474399</v>
      </c>
      <c r="H19" s="4">
        <v>2301.1706169689401</v>
      </c>
      <c r="I19" s="4">
        <v>7.4427488285683303</v>
      </c>
      <c r="J19" s="4">
        <v>99.418358760666607</v>
      </c>
      <c r="K19" s="4">
        <v>75.809537201474697</v>
      </c>
      <c r="L19" s="4">
        <v>99.171175320040106</v>
      </c>
      <c r="M19" s="4">
        <v>149.31050540543799</v>
      </c>
      <c r="N19" s="4">
        <v>98.767926682283999</v>
      </c>
      <c r="O19" s="4">
        <v>99.279026424129199</v>
      </c>
      <c r="P19" s="4">
        <v>104.158576015311</v>
      </c>
      <c r="Q19" s="4">
        <v>96.428035447327701</v>
      </c>
      <c r="R19" s="4">
        <v>114.96761244385</v>
      </c>
      <c r="S19" s="4">
        <v>89.834884912527798</v>
      </c>
      <c r="T19" s="4">
        <v>97.740471264953399</v>
      </c>
      <c r="U19" s="4">
        <v>116.971820078203</v>
      </c>
      <c r="V19" s="4">
        <v>98.4981364577595</v>
      </c>
      <c r="W19" s="4">
        <v>90.094575000000006</v>
      </c>
      <c r="X19" s="4">
        <v>3.2058684210526298</v>
      </c>
      <c r="Y19" s="4">
        <v>15.2880718670525</v>
      </c>
      <c r="Z19" s="9"/>
      <c r="AA19" s="9"/>
      <c r="AB19" s="8"/>
    </row>
    <row r="20" spans="1:28" x14ac:dyDescent="0.3">
      <c r="A20" s="3" t="s">
        <v>600</v>
      </c>
      <c r="B20" s="4">
        <v>2531.7774155776401</v>
      </c>
      <c r="C20" s="4">
        <v>458.41026173204602</v>
      </c>
      <c r="D20" s="4">
        <v>1031.1482374161999</v>
      </c>
      <c r="E20" s="4">
        <v>4420.0989985645001</v>
      </c>
      <c r="F20" s="4">
        <v>4023.84526152832</v>
      </c>
      <c r="G20" s="4">
        <v>1696.5773186076501</v>
      </c>
      <c r="H20" s="4">
        <v>2327.2679429206601</v>
      </c>
      <c r="I20" s="4">
        <v>8.9648158822895301</v>
      </c>
      <c r="J20" s="4">
        <v>89.952588264366099</v>
      </c>
      <c r="K20" s="4">
        <v>73.490551078979095</v>
      </c>
      <c r="L20" s="4">
        <v>95.921046513255106</v>
      </c>
      <c r="M20" s="4">
        <v>67.680174416169905</v>
      </c>
      <c r="N20" s="4">
        <v>91.977573433278096</v>
      </c>
      <c r="O20" s="4">
        <v>90.234505817318706</v>
      </c>
      <c r="P20" s="4">
        <v>104.284276362631</v>
      </c>
      <c r="Q20" s="4">
        <v>94.899876915052005</v>
      </c>
      <c r="R20" s="4">
        <v>96.742727735551796</v>
      </c>
      <c r="S20" s="4">
        <v>94.244511753537594</v>
      </c>
      <c r="T20" s="4">
        <v>98.996203269065106</v>
      </c>
      <c r="U20" s="4">
        <v>78.560024602560205</v>
      </c>
      <c r="V20" s="4">
        <v>98.834142214623895</v>
      </c>
      <c r="W20" s="4">
        <v>90.103069000000005</v>
      </c>
      <c r="X20" s="4">
        <v>3.1933363636363601</v>
      </c>
      <c r="Y20" s="4">
        <v>-6.7139698059687101</v>
      </c>
      <c r="Z20" s="9"/>
      <c r="AA20" s="9"/>
      <c r="AB20" s="8"/>
    </row>
    <row r="21" spans="1:28" x14ac:dyDescent="0.3">
      <c r="A21" s="3" t="s">
        <v>601</v>
      </c>
      <c r="B21" s="4">
        <v>2633.93283411017</v>
      </c>
      <c r="C21" s="4">
        <v>404.63025692406302</v>
      </c>
      <c r="D21" s="4">
        <v>991.24025577780799</v>
      </c>
      <c r="E21" s="4">
        <v>4452.18382715805</v>
      </c>
      <c r="F21" s="4">
        <v>4029.8033468119902</v>
      </c>
      <c r="G21" s="4">
        <v>1702.42901494033</v>
      </c>
      <c r="H21" s="4">
        <v>2327.3743318716602</v>
      </c>
      <c r="I21" s="4">
        <v>9.4870404445034495</v>
      </c>
      <c r="J21" s="4">
        <v>88.6681172249627</v>
      </c>
      <c r="K21" s="4">
        <v>79.071453099653596</v>
      </c>
      <c r="L21" s="4">
        <v>99.413721796434203</v>
      </c>
      <c r="M21" s="4">
        <v>60.016725881249599</v>
      </c>
      <c r="N21" s="4">
        <v>85.933853394927198</v>
      </c>
      <c r="O21" s="4">
        <v>85.444410774063499</v>
      </c>
      <c r="P21" s="4">
        <v>90.774911533079703</v>
      </c>
      <c r="Q21" s="4">
        <v>85.520746931696195</v>
      </c>
      <c r="R21" s="4">
        <v>74.039923226210206</v>
      </c>
      <c r="S21" s="4">
        <v>89.603623200554395</v>
      </c>
      <c r="T21" s="4">
        <v>91.7539131251432</v>
      </c>
      <c r="U21" s="4">
        <v>79.323253090442293</v>
      </c>
      <c r="V21" s="4">
        <v>99.060523285368603</v>
      </c>
      <c r="W21" s="4">
        <v>90.336856999999995</v>
      </c>
      <c r="X21" s="4">
        <v>3.1909749999999999</v>
      </c>
      <c r="Y21" s="4">
        <v>1.9697623792285801</v>
      </c>
      <c r="Z21" s="9"/>
      <c r="AA21" s="9"/>
      <c r="AB21" s="8"/>
    </row>
    <row r="22" spans="1:28" x14ac:dyDescent="0.3">
      <c r="A22" s="3" t="s">
        <v>602</v>
      </c>
      <c r="B22" s="4">
        <v>2645.8163968813001</v>
      </c>
      <c r="C22" s="4">
        <v>370.64743549997002</v>
      </c>
      <c r="D22" s="4">
        <v>987.34471853117998</v>
      </c>
      <c r="E22" s="4">
        <v>4436.5163984556702</v>
      </c>
      <c r="F22" s="4">
        <v>4003.8085509124899</v>
      </c>
      <c r="G22" s="4">
        <v>1730.1964432796699</v>
      </c>
      <c r="H22" s="4">
        <v>2273.61210763282</v>
      </c>
      <c r="I22" s="4">
        <v>9.7533246511575804</v>
      </c>
      <c r="J22" s="4">
        <v>96.721453394350206</v>
      </c>
      <c r="K22" s="4">
        <v>96.073268604249193</v>
      </c>
      <c r="L22" s="4">
        <v>103.260277286717</v>
      </c>
      <c r="M22" s="4">
        <v>61.039060474170697</v>
      </c>
      <c r="N22" s="4">
        <v>100.117057439205</v>
      </c>
      <c r="O22" s="4">
        <v>102.022735262138</v>
      </c>
      <c r="P22" s="4">
        <v>91.653740167585497</v>
      </c>
      <c r="Q22" s="4">
        <v>95.448560489916005</v>
      </c>
      <c r="R22" s="4">
        <v>85.345020096175304</v>
      </c>
      <c r="S22" s="4">
        <v>99.041639380705206</v>
      </c>
      <c r="T22" s="4">
        <v>102.62606768865901</v>
      </c>
      <c r="U22" s="4">
        <v>86.882656929419795</v>
      </c>
      <c r="V22" s="4">
        <v>100.11919074011</v>
      </c>
      <c r="W22" s="4">
        <v>90.651983999999999</v>
      </c>
      <c r="X22" s="4">
        <v>3.1864454545454501</v>
      </c>
      <c r="Y22" s="4">
        <v>0.917168579739435</v>
      </c>
      <c r="Z22" s="9"/>
      <c r="AA22" s="9"/>
      <c r="AB22" s="8"/>
    </row>
    <row r="23" spans="1:28" x14ac:dyDescent="0.3">
      <c r="A23" s="3" t="s">
        <v>603</v>
      </c>
      <c r="B23" s="4">
        <v>2639.8696381355298</v>
      </c>
      <c r="C23" s="4">
        <v>364.499712478079</v>
      </c>
      <c r="D23" s="4">
        <v>991.61361216356204</v>
      </c>
      <c r="E23" s="4">
        <v>4392.1723625467903</v>
      </c>
      <c r="F23" s="4">
        <v>3995.9829627771701</v>
      </c>
      <c r="G23" s="4">
        <v>1732.5927592312801</v>
      </c>
      <c r="H23" s="4">
        <v>2263.39020354589</v>
      </c>
      <c r="I23" s="4">
        <v>9.0203518228936801</v>
      </c>
      <c r="J23" s="4">
        <v>96.636430575583503</v>
      </c>
      <c r="K23" s="4">
        <v>139.257176774236</v>
      </c>
      <c r="L23" s="4">
        <v>98.066035248490905</v>
      </c>
      <c r="M23" s="4">
        <v>124.615683326699</v>
      </c>
      <c r="N23" s="4">
        <v>94.504889741131393</v>
      </c>
      <c r="O23" s="4">
        <v>94.923942014611399</v>
      </c>
      <c r="P23" s="4">
        <v>93.659063199226907</v>
      </c>
      <c r="Q23" s="4">
        <v>94.282991917280398</v>
      </c>
      <c r="R23" s="4">
        <v>100.954892948818</v>
      </c>
      <c r="S23" s="4">
        <v>91.910292267096196</v>
      </c>
      <c r="T23" s="4">
        <v>97.941162205479003</v>
      </c>
      <c r="U23" s="4">
        <v>79.482473525619099</v>
      </c>
      <c r="V23" s="4">
        <v>106.41365050027601</v>
      </c>
      <c r="W23" s="4">
        <v>90.813531999999995</v>
      </c>
      <c r="X23" s="4">
        <v>3.1787052631578998</v>
      </c>
      <c r="Y23" s="4">
        <v>3.3944901975261699</v>
      </c>
      <c r="Z23" s="9"/>
      <c r="AA23" s="9"/>
      <c r="AB23" s="8"/>
    </row>
    <row r="24" spans="1:28" x14ac:dyDescent="0.3">
      <c r="A24" s="3" t="s">
        <v>604</v>
      </c>
      <c r="B24" s="4">
        <v>2615.8647862522598</v>
      </c>
      <c r="C24" s="4">
        <v>385.46810102366499</v>
      </c>
      <c r="D24" s="4">
        <v>993.590196939355</v>
      </c>
      <c r="E24" s="4">
        <v>4367.6207497881296</v>
      </c>
      <c r="F24" s="4">
        <v>3994.9230842152901</v>
      </c>
      <c r="G24" s="4">
        <v>1725.9880629187401</v>
      </c>
      <c r="H24" s="4">
        <v>2268.9350212965501</v>
      </c>
      <c r="I24" s="4">
        <v>8.5331966057481292</v>
      </c>
      <c r="J24" s="4">
        <v>104.746678845017</v>
      </c>
      <c r="K24" s="4">
        <v>173.15506852153999</v>
      </c>
      <c r="L24" s="4">
        <v>102.495632251685</v>
      </c>
      <c r="M24" s="4">
        <v>214.37960474636</v>
      </c>
      <c r="N24" s="4">
        <v>98.626758476422907</v>
      </c>
      <c r="O24" s="4">
        <v>97.6928723360611</v>
      </c>
      <c r="P24" s="4">
        <v>104.799169253508</v>
      </c>
      <c r="Q24" s="4">
        <v>109.471121427474</v>
      </c>
      <c r="R24" s="4">
        <v>135.27551212275199</v>
      </c>
      <c r="S24" s="4">
        <v>100.29441624457399</v>
      </c>
      <c r="T24" s="4">
        <v>101.16775679704899</v>
      </c>
      <c r="U24" s="4">
        <v>96.176497139394698</v>
      </c>
      <c r="V24" s="4">
        <v>107.39099292216299</v>
      </c>
      <c r="W24" s="4">
        <v>91.260217999999995</v>
      </c>
      <c r="X24" s="4">
        <v>3.1681681818181802</v>
      </c>
      <c r="Y24" s="4">
        <v>-0.82393135883715696</v>
      </c>
      <c r="Z24" s="9"/>
      <c r="AA24" s="9"/>
      <c r="AB24" s="8"/>
    </row>
    <row r="25" spans="1:28" x14ac:dyDescent="0.3">
      <c r="A25" s="3" t="s">
        <v>605</v>
      </c>
      <c r="B25" s="4">
        <v>2634.1859127602102</v>
      </c>
      <c r="C25" s="4">
        <v>400.53496161354002</v>
      </c>
      <c r="D25" s="4">
        <v>981.97131794575898</v>
      </c>
      <c r="E25" s="4">
        <v>4379.77285007109</v>
      </c>
      <c r="F25" s="4">
        <v>4016.69219231954</v>
      </c>
      <c r="G25" s="4">
        <v>1692.95211635959</v>
      </c>
      <c r="H25" s="4">
        <v>2323.74007595995</v>
      </c>
      <c r="I25" s="4">
        <v>8.2899426564018501</v>
      </c>
      <c r="J25" s="4">
        <v>101.25456484815101</v>
      </c>
      <c r="K25" s="4">
        <v>151.79491568819401</v>
      </c>
      <c r="L25" s="4">
        <v>99.990820353189406</v>
      </c>
      <c r="M25" s="4">
        <v>182.525303500295</v>
      </c>
      <c r="N25" s="4">
        <v>95.367000784450397</v>
      </c>
      <c r="O25" s="4">
        <v>94.318963995522907</v>
      </c>
      <c r="P25" s="4">
        <v>101.631628963857</v>
      </c>
      <c r="Q25" s="4">
        <v>105.06825537386</v>
      </c>
      <c r="R25" s="4">
        <v>127.19877036140799</v>
      </c>
      <c r="S25" s="4">
        <v>97.198074907880397</v>
      </c>
      <c r="T25" s="4">
        <v>97.587592658963203</v>
      </c>
      <c r="U25" s="4">
        <v>91.049893298407</v>
      </c>
      <c r="V25" s="4">
        <v>102.026610026019</v>
      </c>
      <c r="W25" s="4">
        <v>91.688860000000005</v>
      </c>
      <c r="X25" s="4">
        <v>3.1709000000000001</v>
      </c>
      <c r="Y25" s="4">
        <v>2.9638974983869502</v>
      </c>
      <c r="Z25" s="9"/>
      <c r="AA25" s="9"/>
      <c r="AB25" s="8"/>
    </row>
    <row r="26" spans="1:28" x14ac:dyDescent="0.3">
      <c r="A26" s="3" t="s">
        <v>606</v>
      </c>
      <c r="B26" s="4">
        <v>2651.7050218116801</v>
      </c>
      <c r="C26" s="4">
        <v>408.90004097902602</v>
      </c>
      <c r="D26" s="4">
        <v>1007.72572780353</v>
      </c>
      <c r="E26" s="4">
        <v>4418.8971891149604</v>
      </c>
      <c r="F26" s="4">
        <v>4068.3307905941701</v>
      </c>
      <c r="G26" s="4">
        <v>1738.93199005376</v>
      </c>
      <c r="H26" s="4">
        <v>2329.3988005403999</v>
      </c>
      <c r="I26" s="4">
        <v>7.9333458896578497</v>
      </c>
      <c r="J26" s="4">
        <v>102.54512798215799</v>
      </c>
      <c r="K26" s="4">
        <v>103.06974438071499</v>
      </c>
      <c r="L26" s="4">
        <v>101.273017389369</v>
      </c>
      <c r="M26" s="4">
        <v>46.984751698497597</v>
      </c>
      <c r="N26" s="4">
        <v>102.600183038438</v>
      </c>
      <c r="O26" s="4">
        <v>102.215176464493</v>
      </c>
      <c r="P26" s="4">
        <v>104.68689654859099</v>
      </c>
      <c r="Q26" s="4">
        <v>99.832020649757695</v>
      </c>
      <c r="R26" s="4">
        <v>94.260705292608804</v>
      </c>
      <c r="S26" s="4">
        <v>101.813323720125</v>
      </c>
      <c r="T26" s="4">
        <v>100.346612233717</v>
      </c>
      <c r="U26" s="4">
        <v>97.406281950954096</v>
      </c>
      <c r="V26" s="4">
        <v>103.84611561659401</v>
      </c>
      <c r="W26" s="4">
        <v>92.124881999999999</v>
      </c>
      <c r="X26" s="4">
        <v>3.1617727272727301</v>
      </c>
      <c r="Y26" s="4">
        <v>5.5872039382679697</v>
      </c>
      <c r="Z26" s="9"/>
      <c r="AA26" s="9"/>
      <c r="AB26" s="8"/>
    </row>
    <row r="27" spans="1:28" x14ac:dyDescent="0.3">
      <c r="A27" s="3" t="s">
        <v>607</v>
      </c>
      <c r="B27" s="4">
        <v>2571.5934375823999</v>
      </c>
      <c r="C27" s="4">
        <v>435.11369506936097</v>
      </c>
      <c r="D27" s="4">
        <v>1041.0327190175899</v>
      </c>
      <c r="E27" s="4">
        <v>4395.7390636872296</v>
      </c>
      <c r="F27" s="4">
        <v>4047.7398516693002</v>
      </c>
      <c r="G27" s="4">
        <v>1746.9949868640499</v>
      </c>
      <c r="H27" s="4">
        <v>2300.74486480525</v>
      </c>
      <c r="I27" s="4">
        <v>7.9167395283475903</v>
      </c>
      <c r="J27" s="4">
        <v>100.128653426881</v>
      </c>
      <c r="K27" s="4">
        <v>78.272879843251403</v>
      </c>
      <c r="L27" s="4">
        <v>99.640913414461593</v>
      </c>
      <c r="M27" s="4">
        <v>33.899985659904502</v>
      </c>
      <c r="N27" s="4">
        <v>104.30923908306499</v>
      </c>
      <c r="O27" s="4">
        <v>105.43649460354899</v>
      </c>
      <c r="P27" s="4">
        <v>97.468942842671495</v>
      </c>
      <c r="Q27" s="4">
        <v>98.490826313358795</v>
      </c>
      <c r="R27" s="4">
        <v>85.247677089525197</v>
      </c>
      <c r="S27" s="4">
        <v>103.20043087466701</v>
      </c>
      <c r="T27" s="4">
        <v>99.980835600515107</v>
      </c>
      <c r="U27" s="4">
        <v>107.832609681154</v>
      </c>
      <c r="V27" s="4">
        <v>100.128448290789</v>
      </c>
      <c r="W27" s="4">
        <v>92.251007999999999</v>
      </c>
      <c r="X27" s="4">
        <v>3.1587136363636401</v>
      </c>
      <c r="Y27" s="4">
        <v>-0.13290123289881001</v>
      </c>
      <c r="Z27" s="9"/>
      <c r="AA27" s="9"/>
      <c r="AB27" s="8"/>
    </row>
    <row r="28" spans="1:28" x14ac:dyDescent="0.3">
      <c r="A28" s="3" t="s">
        <v>608</v>
      </c>
      <c r="B28" s="4">
        <v>2534.3217247493699</v>
      </c>
      <c r="C28" s="4">
        <v>443.42531615898798</v>
      </c>
      <c r="D28" s="4">
        <v>1039.3226662449399</v>
      </c>
      <c r="E28" s="4">
        <v>4374.0224382304104</v>
      </c>
      <c r="F28" s="4">
        <v>4017.06970715329</v>
      </c>
      <c r="G28" s="4">
        <v>1732.6593116773199</v>
      </c>
      <c r="H28" s="4">
        <v>2284.4103954759698</v>
      </c>
      <c r="I28" s="4">
        <v>8.1607430258521791</v>
      </c>
      <c r="J28" s="4">
        <v>100.24040939276099</v>
      </c>
      <c r="K28" s="4">
        <v>72.329181897199305</v>
      </c>
      <c r="L28" s="4">
        <v>99.039812495572207</v>
      </c>
      <c r="M28" s="4">
        <v>28.492881348188899</v>
      </c>
      <c r="N28" s="4">
        <v>104.309997385165</v>
      </c>
      <c r="O28" s="4">
        <v>104.835993007315</v>
      </c>
      <c r="P28" s="4">
        <v>100.163249201357</v>
      </c>
      <c r="Q28" s="4">
        <v>96.634554591833705</v>
      </c>
      <c r="R28" s="4">
        <v>82.994721162622298</v>
      </c>
      <c r="S28" s="4">
        <v>101.485230261794</v>
      </c>
      <c r="T28" s="4">
        <v>97.681107662326497</v>
      </c>
      <c r="U28" s="4">
        <v>103.41495964852901</v>
      </c>
      <c r="V28" s="4">
        <v>96.026485265358303</v>
      </c>
      <c r="W28" s="4">
        <v>92.816046</v>
      </c>
      <c r="X28" s="4">
        <v>3.1366100000000001</v>
      </c>
      <c r="Y28" s="4">
        <v>-0.14172025788149101</v>
      </c>
      <c r="Z28" s="9"/>
      <c r="AA28" s="9"/>
      <c r="AB28" s="8"/>
    </row>
    <row r="29" spans="1:28" x14ac:dyDescent="0.3">
      <c r="A29" s="3" t="s">
        <v>609</v>
      </c>
      <c r="B29" s="4">
        <v>2508.4610465430201</v>
      </c>
      <c r="C29" s="4">
        <v>461.851257949238</v>
      </c>
      <c r="D29" s="4">
        <v>1036.8966444990899</v>
      </c>
      <c r="E29" s="4">
        <v>4352.2563173944</v>
      </c>
      <c r="F29" s="4">
        <v>4007.2089489913501</v>
      </c>
      <c r="G29" s="4">
        <v>1764.2349065256601</v>
      </c>
      <c r="H29" s="4">
        <v>2242.9740424656902</v>
      </c>
      <c r="I29" s="4">
        <v>7.9280112024654299</v>
      </c>
      <c r="J29" s="4">
        <v>103.15131954719099</v>
      </c>
      <c r="K29" s="4">
        <v>73.909310417770399</v>
      </c>
      <c r="L29" s="4">
        <v>97.401151836708095</v>
      </c>
      <c r="M29" s="4">
        <v>34.6969396375044</v>
      </c>
      <c r="N29" s="4">
        <v>108.24048635927799</v>
      </c>
      <c r="O29" s="4">
        <v>108.640904660465</v>
      </c>
      <c r="P29" s="4">
        <v>104.072241963422</v>
      </c>
      <c r="Q29" s="4">
        <v>103.95969276733599</v>
      </c>
      <c r="R29" s="4">
        <v>87.621670266771901</v>
      </c>
      <c r="S29" s="4">
        <v>109.769913885508</v>
      </c>
      <c r="T29" s="4">
        <v>103.22726670794999</v>
      </c>
      <c r="U29" s="4">
        <v>109.44261142105699</v>
      </c>
      <c r="V29" s="4">
        <v>97.512779213518996</v>
      </c>
      <c r="W29" s="4">
        <v>93.107501999999997</v>
      </c>
      <c r="X29" s="4">
        <v>3.02056818181818</v>
      </c>
      <c r="Y29" s="4">
        <v>3.1902561230356099</v>
      </c>
      <c r="Z29" s="9"/>
      <c r="AA29" s="9"/>
      <c r="AB29" s="8"/>
    </row>
    <row r="30" spans="1:28" x14ac:dyDescent="0.3">
      <c r="A30" s="3" t="s">
        <v>610</v>
      </c>
      <c r="B30" s="4">
        <v>2474.6066240861501</v>
      </c>
      <c r="C30" s="4">
        <v>438.20666461693099</v>
      </c>
      <c r="D30" s="4">
        <v>1058.39243020598</v>
      </c>
      <c r="E30" s="4">
        <v>4313.04647821455</v>
      </c>
      <c r="F30" s="4">
        <v>3971.2057189090201</v>
      </c>
      <c r="G30" s="4">
        <v>1780.2634707905099</v>
      </c>
      <c r="H30" s="4">
        <v>2190.9422481185102</v>
      </c>
      <c r="I30" s="4">
        <v>7.9257378985400404</v>
      </c>
      <c r="J30" s="4">
        <v>104.099681882306</v>
      </c>
      <c r="K30" s="4">
        <v>78.092069162394594</v>
      </c>
      <c r="L30" s="4">
        <v>99.586236317632796</v>
      </c>
      <c r="M30" s="4">
        <v>194.40347106452199</v>
      </c>
      <c r="N30" s="4">
        <v>101.405046631221</v>
      </c>
      <c r="O30" s="4">
        <v>101.156884277777</v>
      </c>
      <c r="P30" s="4">
        <v>100.286532385187</v>
      </c>
      <c r="Q30" s="4">
        <v>110.899930627578</v>
      </c>
      <c r="R30" s="4">
        <v>116.89058413263599</v>
      </c>
      <c r="S30" s="4">
        <v>108.769500123792</v>
      </c>
      <c r="T30" s="4">
        <v>102.311517222801</v>
      </c>
      <c r="U30" s="4">
        <v>112.289752265137</v>
      </c>
      <c r="V30" s="4">
        <v>95.511325993811994</v>
      </c>
      <c r="W30" s="4">
        <v>93.210858000000002</v>
      </c>
      <c r="X30" s="4">
        <v>3.00191904761905</v>
      </c>
      <c r="Y30" s="4">
        <v>2.1285615139460901</v>
      </c>
    </row>
    <row r="31" spans="1:28" x14ac:dyDescent="0.3">
      <c r="A31" s="3" t="s">
        <v>611</v>
      </c>
      <c r="B31" s="4">
        <v>2540.4195292875102</v>
      </c>
      <c r="C31" s="4">
        <v>421.08028110211598</v>
      </c>
      <c r="D31" s="4">
        <v>1060.9187581517201</v>
      </c>
      <c r="E31" s="4">
        <v>4346.3156979049199</v>
      </c>
      <c r="F31" s="4">
        <v>4022.41856854138</v>
      </c>
      <c r="G31" s="4">
        <v>1838.4246960809401</v>
      </c>
      <c r="H31" s="4">
        <v>2183.9938724604499</v>
      </c>
      <c r="I31" s="4">
        <v>7.45222279917704</v>
      </c>
      <c r="J31" s="4">
        <v>111.854974616273</v>
      </c>
      <c r="K31" s="4">
        <v>81.484380531816598</v>
      </c>
      <c r="L31" s="4">
        <v>103.911335096484</v>
      </c>
      <c r="M31" s="4">
        <v>151.265418246439</v>
      </c>
      <c r="N31" s="4">
        <v>112.607914233418</v>
      </c>
      <c r="O31" s="4">
        <v>113.07711678668601</v>
      </c>
      <c r="P31" s="4">
        <v>106.51934757888399</v>
      </c>
      <c r="Q31" s="4">
        <v>105.49142199485701</v>
      </c>
      <c r="R31" s="4">
        <v>113.42779556492</v>
      </c>
      <c r="S31" s="4">
        <v>102.66904337976599</v>
      </c>
      <c r="T31" s="4">
        <v>106.379964828331</v>
      </c>
      <c r="U31" s="4">
        <v>158.138986447326</v>
      </c>
      <c r="V31" s="4">
        <v>94.723027094300207</v>
      </c>
      <c r="W31" s="4">
        <v>93.633201</v>
      </c>
      <c r="X31" s="4">
        <v>2.98264</v>
      </c>
      <c r="Y31" s="4">
        <v>13.027974907729099</v>
      </c>
    </row>
    <row r="32" spans="1:28" x14ac:dyDescent="0.3">
      <c r="A32" s="3" t="s">
        <v>612</v>
      </c>
      <c r="B32" s="4">
        <v>2520.2608200105801</v>
      </c>
      <c r="C32" s="4">
        <v>398.81922477723299</v>
      </c>
      <c r="D32" s="4">
        <v>1077.57775462474</v>
      </c>
      <c r="E32" s="4">
        <v>4348.8590864925</v>
      </c>
      <c r="F32" s="4">
        <v>3996.65779941251</v>
      </c>
      <c r="G32" s="4">
        <v>1806.6703681491799</v>
      </c>
      <c r="H32" s="4">
        <v>2189.9874312633201</v>
      </c>
      <c r="I32" s="4">
        <v>8.0987054322785603</v>
      </c>
      <c r="J32" s="4">
        <v>98.512469150090894</v>
      </c>
      <c r="K32" s="4">
        <v>82.810159052054601</v>
      </c>
      <c r="L32" s="4">
        <v>99.242205146676795</v>
      </c>
      <c r="M32" s="4">
        <v>77.427378414814598</v>
      </c>
      <c r="N32" s="4">
        <v>94.380135971411093</v>
      </c>
      <c r="O32" s="4">
        <v>93.393634254995405</v>
      </c>
      <c r="P32" s="4">
        <v>95.898744380592106</v>
      </c>
      <c r="Q32" s="4">
        <v>103.782448326501</v>
      </c>
      <c r="R32" s="4">
        <v>100.264621273508</v>
      </c>
      <c r="S32" s="4">
        <v>105.033478127241</v>
      </c>
      <c r="T32" s="4">
        <v>107.485360124498</v>
      </c>
      <c r="U32" s="4">
        <v>95.030698349531306</v>
      </c>
      <c r="V32" s="4">
        <v>95.017448317823096</v>
      </c>
      <c r="W32" s="4">
        <v>93.84111</v>
      </c>
      <c r="X32" s="4">
        <v>2.9517500000000001</v>
      </c>
      <c r="Y32" s="4">
        <v>-5.62293640735962</v>
      </c>
    </row>
    <row r="33" spans="1:25" x14ac:dyDescent="0.3">
      <c r="A33" s="3" t="s">
        <v>613</v>
      </c>
      <c r="B33" s="4">
        <v>2533.7203965099602</v>
      </c>
      <c r="C33" s="4">
        <v>412.42039592168902</v>
      </c>
      <c r="D33" s="4">
        <v>1065.92855318906</v>
      </c>
      <c r="E33" s="4">
        <v>4407.03318013847</v>
      </c>
      <c r="F33" s="4">
        <v>4012.06934562073</v>
      </c>
      <c r="G33" s="4">
        <v>1877.30241198152</v>
      </c>
      <c r="H33" s="4">
        <v>2134.76693363921</v>
      </c>
      <c r="I33" s="4">
        <v>8.9621252750661409</v>
      </c>
      <c r="J33" s="4">
        <v>100.676630392283</v>
      </c>
      <c r="K33" s="4">
        <v>83.113521666652801</v>
      </c>
      <c r="L33" s="4">
        <v>100.309513871509</v>
      </c>
      <c r="M33" s="4">
        <v>63.418754899003901</v>
      </c>
      <c r="N33" s="4">
        <v>102.25243615445</v>
      </c>
      <c r="O33" s="4">
        <v>102.58985599392</v>
      </c>
      <c r="P33" s="4">
        <v>95.511285555056105</v>
      </c>
      <c r="Q33" s="4">
        <v>101.34535297484599</v>
      </c>
      <c r="R33" s="4">
        <v>93.060176699192098</v>
      </c>
      <c r="S33" s="4">
        <v>104.291774805451</v>
      </c>
      <c r="T33" s="4">
        <v>103.928956208711</v>
      </c>
      <c r="U33" s="4">
        <v>99.475118007285801</v>
      </c>
      <c r="V33" s="4">
        <v>97.088776486522093</v>
      </c>
      <c r="W33" s="4">
        <v>94.692266000000004</v>
      </c>
      <c r="X33" s="4">
        <v>2.9061047619047602</v>
      </c>
      <c r="Y33" s="4">
        <v>3.5759713258385299</v>
      </c>
    </row>
    <row r="34" spans="1:25" x14ac:dyDescent="0.3">
      <c r="A34" s="3" t="s">
        <v>614</v>
      </c>
      <c r="B34" s="4">
        <v>2512.9228990061602</v>
      </c>
      <c r="C34" s="4">
        <v>415.02631405839298</v>
      </c>
      <c r="D34" s="4">
        <v>1111.08173165738</v>
      </c>
      <c r="E34" s="4">
        <v>4452.9113926641103</v>
      </c>
      <c r="F34" s="4">
        <v>4039.0309447219602</v>
      </c>
      <c r="G34" s="4">
        <v>1885.0006277244299</v>
      </c>
      <c r="H34" s="4">
        <v>2154.03031699753</v>
      </c>
      <c r="I34" s="4">
        <v>9.2946032706598007</v>
      </c>
      <c r="J34" s="4">
        <v>104.08801944365401</v>
      </c>
      <c r="K34" s="4">
        <v>101.042156530619</v>
      </c>
      <c r="L34" s="4">
        <v>104.93752598878</v>
      </c>
      <c r="M34" s="4">
        <v>69.264437705398606</v>
      </c>
      <c r="N34" s="4">
        <v>104.30513379238199</v>
      </c>
      <c r="O34" s="4">
        <v>106.29754421254199</v>
      </c>
      <c r="P34" s="4">
        <v>87.733427603019507</v>
      </c>
      <c r="Q34" s="4">
        <v>105.57972433543</v>
      </c>
      <c r="R34" s="4">
        <v>105.956033169816</v>
      </c>
      <c r="S34" s="4">
        <v>105.445899232887</v>
      </c>
      <c r="T34" s="4">
        <v>110.78803102416499</v>
      </c>
      <c r="U34" s="4">
        <v>101.195507679383</v>
      </c>
      <c r="V34" s="4">
        <v>97.552634908314204</v>
      </c>
      <c r="W34" s="4">
        <v>95.678818000000007</v>
      </c>
      <c r="X34" s="4">
        <v>2.8120315789473702</v>
      </c>
      <c r="Y34" s="4">
        <v>2.4063261867779699</v>
      </c>
    </row>
    <row r="35" spans="1:25" x14ac:dyDescent="0.3">
      <c r="A35" s="3" t="s">
        <v>615</v>
      </c>
      <c r="B35" s="4">
        <v>2532.0393531017799</v>
      </c>
      <c r="C35" s="4">
        <v>413.03329049772401</v>
      </c>
      <c r="D35" s="4">
        <v>1123.0908716640399</v>
      </c>
      <c r="E35" s="4">
        <v>4470.3194589751101</v>
      </c>
      <c r="F35" s="4">
        <v>4068.1635152633698</v>
      </c>
      <c r="G35" s="4">
        <v>1944.6554696405699</v>
      </c>
      <c r="H35" s="4">
        <v>2123.5080456228002</v>
      </c>
      <c r="I35" s="4">
        <v>8.9961343345244291</v>
      </c>
      <c r="J35" s="4">
        <v>110.247082044336</v>
      </c>
      <c r="K35" s="4">
        <v>153.888551644838</v>
      </c>
      <c r="L35" s="4">
        <v>103.39508524847299</v>
      </c>
      <c r="M35" s="4">
        <v>196.628850833819</v>
      </c>
      <c r="N35" s="4">
        <v>102.826052471019</v>
      </c>
      <c r="O35" s="4">
        <v>102.56644660329199</v>
      </c>
      <c r="P35" s="4">
        <v>98.390847410341493</v>
      </c>
      <c r="Q35" s="4">
        <v>113.487487934676</v>
      </c>
      <c r="R35" s="4">
        <v>123.872178696408</v>
      </c>
      <c r="S35" s="4">
        <v>109.794424740068</v>
      </c>
      <c r="T35" s="4">
        <v>107.44873886443899</v>
      </c>
      <c r="U35" s="4">
        <v>113.168957947603</v>
      </c>
      <c r="V35" s="4">
        <v>97.756839509534203</v>
      </c>
      <c r="W35" s="4">
        <v>95.826374000000001</v>
      </c>
      <c r="X35" s="4">
        <v>2.7519181818181799</v>
      </c>
      <c r="Y35" s="4">
        <v>2.706922515914</v>
      </c>
    </row>
    <row r="36" spans="1:25" x14ac:dyDescent="0.3">
      <c r="A36" s="3" t="s">
        <v>616</v>
      </c>
      <c r="B36" s="4">
        <v>2549.53197796942</v>
      </c>
      <c r="C36" s="4">
        <v>394.28309536938298</v>
      </c>
      <c r="D36" s="4">
        <v>1155.7735675367001</v>
      </c>
      <c r="E36" s="4">
        <v>4461.0524441483904</v>
      </c>
      <c r="F36" s="4">
        <v>4099.5886408755596</v>
      </c>
      <c r="G36" s="4">
        <v>1915.5498112960699</v>
      </c>
      <c r="H36" s="4">
        <v>2184.0388295794901</v>
      </c>
      <c r="I36" s="4">
        <v>8.1026575633953701</v>
      </c>
      <c r="J36" s="4">
        <v>112.085333116459</v>
      </c>
      <c r="K36" s="4">
        <v>182.20556573733199</v>
      </c>
      <c r="L36" s="4">
        <v>107.539517839449</v>
      </c>
      <c r="M36" s="4">
        <v>135.62430811154499</v>
      </c>
      <c r="N36" s="4">
        <v>106.883491676109</v>
      </c>
      <c r="O36" s="4">
        <v>107.528803829029</v>
      </c>
      <c r="P36" s="4">
        <v>96.681709681118903</v>
      </c>
      <c r="Q36" s="4">
        <v>114.608804891524</v>
      </c>
      <c r="R36" s="4">
        <v>126.082813178584</v>
      </c>
      <c r="S36" s="4">
        <v>110.52835236079299</v>
      </c>
      <c r="T36" s="4">
        <v>108.49397066193799</v>
      </c>
      <c r="U36" s="4">
        <v>112.96811221620899</v>
      </c>
      <c r="V36" s="4">
        <v>92.082889759298297</v>
      </c>
      <c r="W36" s="4">
        <v>96.180443999999994</v>
      </c>
      <c r="X36" s="4">
        <v>2.8071052631578901</v>
      </c>
      <c r="Y36" s="4">
        <v>0.67789056918920998</v>
      </c>
    </row>
    <row r="37" spans="1:25" x14ac:dyDescent="0.3">
      <c r="A37" s="3" t="s">
        <v>617</v>
      </c>
      <c r="B37" s="4">
        <v>2531.0285186593601</v>
      </c>
      <c r="C37" s="4">
        <v>395.86490096227499</v>
      </c>
      <c r="D37" s="4">
        <v>1170.90622596555</v>
      </c>
      <c r="E37" s="4">
        <v>4449.2918999980102</v>
      </c>
      <c r="F37" s="4">
        <v>4097.7996455872399</v>
      </c>
      <c r="G37" s="4">
        <v>1966.3776739944001</v>
      </c>
      <c r="H37" s="4">
        <v>2131.4219715928398</v>
      </c>
      <c r="I37" s="4">
        <v>7.8999594162557303</v>
      </c>
      <c r="J37" s="4">
        <v>112.179938878862</v>
      </c>
      <c r="K37" s="4">
        <v>175.73709788385901</v>
      </c>
      <c r="L37" s="4">
        <v>108.18575372206899</v>
      </c>
      <c r="M37" s="4">
        <v>187.41667198956301</v>
      </c>
      <c r="N37" s="4">
        <v>107.59752462302799</v>
      </c>
      <c r="O37" s="4">
        <v>107.554875036932</v>
      </c>
      <c r="P37" s="4">
        <v>100.770693281277</v>
      </c>
      <c r="Q37" s="4">
        <v>115.97440702794199</v>
      </c>
      <c r="R37" s="4">
        <v>136.779666123813</v>
      </c>
      <c r="S37" s="4">
        <v>108.57552165098301</v>
      </c>
      <c r="T37" s="4">
        <v>106.30476045499699</v>
      </c>
      <c r="U37" s="4">
        <v>111.372304261059</v>
      </c>
      <c r="V37" s="4">
        <v>90.557335544421406</v>
      </c>
      <c r="W37" s="4">
        <v>96.920651000000007</v>
      </c>
      <c r="X37" s="4">
        <v>2.8948238095238099</v>
      </c>
      <c r="Y37" s="4">
        <v>1.1978152268481399</v>
      </c>
    </row>
    <row r="38" spans="1:25" x14ac:dyDescent="0.3">
      <c r="A38" s="3" t="s">
        <v>618</v>
      </c>
      <c r="B38" s="4">
        <v>2518.9452734687702</v>
      </c>
      <c r="C38" s="4">
        <v>419.48429708586701</v>
      </c>
      <c r="D38" s="4">
        <v>1164.7467396115101</v>
      </c>
      <c r="E38" s="4">
        <v>4465.5740285994098</v>
      </c>
      <c r="F38" s="4">
        <v>4103.17631016621</v>
      </c>
      <c r="G38" s="4">
        <v>1933.6906111758699</v>
      </c>
      <c r="H38" s="4">
        <v>2169.4856989903401</v>
      </c>
      <c r="I38" s="4">
        <v>8.1153669407833497</v>
      </c>
      <c r="J38" s="4">
        <v>112.30111638353</v>
      </c>
      <c r="K38" s="4">
        <v>118.707393592838</v>
      </c>
      <c r="L38" s="4">
        <v>110.560230231194</v>
      </c>
      <c r="M38" s="4">
        <v>45.893889215782899</v>
      </c>
      <c r="N38" s="4">
        <v>110.03256340974499</v>
      </c>
      <c r="O38" s="4">
        <v>108.869521931973</v>
      </c>
      <c r="P38" s="4">
        <v>108.87605007303399</v>
      </c>
      <c r="Q38" s="4">
        <v>109.592974691441</v>
      </c>
      <c r="R38" s="4">
        <v>100.296694434305</v>
      </c>
      <c r="S38" s="4">
        <v>112.898971109832</v>
      </c>
      <c r="T38" s="4">
        <v>108.066068676852</v>
      </c>
      <c r="U38" s="4">
        <v>117.612936347801</v>
      </c>
      <c r="V38" s="4">
        <v>89.103999633008598</v>
      </c>
      <c r="W38" s="4">
        <v>97.459018</v>
      </c>
      <c r="X38" s="4">
        <v>2.85012857142857</v>
      </c>
      <c r="Y38" s="4">
        <v>3.2359811491323098</v>
      </c>
    </row>
    <row r="39" spans="1:25" x14ac:dyDescent="0.3">
      <c r="A39" s="3" t="s">
        <v>619</v>
      </c>
      <c r="B39" s="4">
        <v>2506.0458038984698</v>
      </c>
      <c r="C39" s="4">
        <v>414.372260877516</v>
      </c>
      <c r="D39" s="4">
        <v>1155.62031212494</v>
      </c>
      <c r="E39" s="4">
        <v>4448.7857321762904</v>
      </c>
      <c r="F39" s="4">
        <v>4076.03837690103</v>
      </c>
      <c r="G39" s="4">
        <v>1864.4698079239699</v>
      </c>
      <c r="H39" s="4">
        <v>2211.5685689770598</v>
      </c>
      <c r="I39" s="4">
        <v>8.3786313325738906</v>
      </c>
      <c r="J39" s="4">
        <v>108.88999383783801</v>
      </c>
      <c r="K39" s="4">
        <v>89.883716980573894</v>
      </c>
      <c r="L39" s="4">
        <v>105.672747781314</v>
      </c>
      <c r="M39" s="4">
        <v>38.010643819524603</v>
      </c>
      <c r="N39" s="4">
        <v>112.349777739039</v>
      </c>
      <c r="O39" s="4">
        <v>112.335505332183</v>
      </c>
      <c r="P39" s="4">
        <v>104.592124704703</v>
      </c>
      <c r="Q39" s="4">
        <v>103.39171679315101</v>
      </c>
      <c r="R39" s="4">
        <v>76.903309076926703</v>
      </c>
      <c r="S39" s="4">
        <v>112.81167602593</v>
      </c>
      <c r="T39" s="4">
        <v>109.179093402197</v>
      </c>
      <c r="U39" s="4">
        <v>122.12942807320999</v>
      </c>
      <c r="V39" s="4">
        <v>86.689919355677404</v>
      </c>
      <c r="W39" s="4">
        <v>98.034498999999997</v>
      </c>
      <c r="X39" s="4">
        <v>2.8963380952381002</v>
      </c>
      <c r="Y39" s="4">
        <v>0.229030814625059</v>
      </c>
    </row>
    <row r="40" spans="1:25" x14ac:dyDescent="0.3">
      <c r="A40" s="3" t="s">
        <v>620</v>
      </c>
      <c r="B40" s="4">
        <v>2467.8601794676802</v>
      </c>
      <c r="C40" s="4">
        <v>430.43884815977702</v>
      </c>
      <c r="D40" s="4">
        <v>1126.1073850960699</v>
      </c>
      <c r="E40" s="4">
        <v>4399.3083430690203</v>
      </c>
      <c r="F40" s="4">
        <v>4024.4064127236302</v>
      </c>
      <c r="G40" s="4">
        <v>1811.3483802264</v>
      </c>
      <c r="H40" s="4">
        <v>2213.0580324972202</v>
      </c>
      <c r="I40" s="4">
        <v>8.5218380051949598</v>
      </c>
      <c r="J40" s="4">
        <v>110.740748155261</v>
      </c>
      <c r="K40" s="4">
        <v>78.016207868186996</v>
      </c>
      <c r="L40" s="4">
        <v>105.601357417542</v>
      </c>
      <c r="M40" s="4">
        <v>34.090848523329697</v>
      </c>
      <c r="N40" s="4">
        <v>110.28293384467899</v>
      </c>
      <c r="O40" s="4">
        <v>109.244781515315</v>
      </c>
      <c r="P40" s="4">
        <v>108.585515655178</v>
      </c>
      <c r="Q40" s="4">
        <v>107.261384530406</v>
      </c>
      <c r="R40" s="4">
        <v>90.095439373213296</v>
      </c>
      <c r="S40" s="4">
        <v>113.366036244667</v>
      </c>
      <c r="T40" s="4">
        <v>107.56906586177401</v>
      </c>
      <c r="U40" s="4">
        <v>129.65860576952801</v>
      </c>
      <c r="V40" s="4">
        <v>83.171260156164905</v>
      </c>
      <c r="W40" s="4">
        <v>98.590552000000002</v>
      </c>
      <c r="X40" s="4">
        <v>2.9681500000000001</v>
      </c>
      <c r="Y40" s="4">
        <v>-1.85531228806714</v>
      </c>
    </row>
    <row r="41" spans="1:25" x14ac:dyDescent="0.3">
      <c r="A41" s="3" t="s">
        <v>621</v>
      </c>
      <c r="B41" s="4">
        <v>2484.8995164359399</v>
      </c>
      <c r="C41" s="4">
        <v>419.64563641246502</v>
      </c>
      <c r="D41" s="4">
        <v>1123.6235065553999</v>
      </c>
      <c r="E41" s="4">
        <v>4373.9710312270199</v>
      </c>
      <c r="F41" s="4">
        <v>4028.1686594036801</v>
      </c>
      <c r="G41" s="4">
        <v>1864.48919297047</v>
      </c>
      <c r="H41" s="4">
        <v>2163.6794664332101</v>
      </c>
      <c r="I41" s="4">
        <v>7.90591362756106</v>
      </c>
      <c r="J41" s="4">
        <v>111.655298051568</v>
      </c>
      <c r="K41" s="4">
        <v>80.377238452355101</v>
      </c>
      <c r="L41" s="4">
        <v>105.091417989711</v>
      </c>
      <c r="M41" s="4">
        <v>41.915210695765403</v>
      </c>
      <c r="N41" s="4">
        <v>113.092704610825</v>
      </c>
      <c r="O41" s="4">
        <v>109.439948879832</v>
      </c>
      <c r="P41" s="4">
        <v>125.173599554337</v>
      </c>
      <c r="Q41" s="4">
        <v>110.496813552297</v>
      </c>
      <c r="R41" s="4">
        <v>101.410840388813</v>
      </c>
      <c r="S41" s="4">
        <v>113.72801935776</v>
      </c>
      <c r="T41" s="4">
        <v>111.217022927706</v>
      </c>
      <c r="U41" s="4">
        <v>133.88011681803499</v>
      </c>
      <c r="V41" s="4">
        <v>78.095659340353706</v>
      </c>
      <c r="W41" s="4">
        <v>99.195038999999994</v>
      </c>
      <c r="X41" s="4">
        <v>3.0815909090909099</v>
      </c>
      <c r="Y41" s="4">
        <v>1.8485003430225599</v>
      </c>
    </row>
    <row r="42" spans="1:25" x14ac:dyDescent="0.3">
      <c r="A42" s="3" t="s">
        <v>622</v>
      </c>
      <c r="B42" s="4">
        <v>2487.17940282068</v>
      </c>
      <c r="C42" s="4">
        <v>452.602771375994</v>
      </c>
      <c r="D42" s="4">
        <v>1110.7248807445001</v>
      </c>
      <c r="E42" s="4">
        <v>4386.6134539378299</v>
      </c>
      <c r="F42" s="4">
        <v>4050.5070549411298</v>
      </c>
      <c r="G42" s="4">
        <v>1989.0192748546699</v>
      </c>
      <c r="H42" s="4">
        <v>2061.4877800864601</v>
      </c>
      <c r="I42" s="4">
        <v>7.6620929226166696</v>
      </c>
      <c r="J42" s="4">
        <v>110.667087487058</v>
      </c>
      <c r="K42" s="4">
        <v>83.284041974852599</v>
      </c>
      <c r="L42" s="4">
        <v>109.940897609014</v>
      </c>
      <c r="M42" s="4">
        <v>172.90652584326301</v>
      </c>
      <c r="N42" s="4">
        <v>116.019332345507</v>
      </c>
      <c r="O42" s="4">
        <v>112.72441823804</v>
      </c>
      <c r="P42" s="4">
        <v>126.028682294578</v>
      </c>
      <c r="Q42" s="4">
        <v>109.468668980787</v>
      </c>
      <c r="R42" s="4">
        <v>122.060007506049</v>
      </c>
      <c r="S42" s="4">
        <v>104.99086507257201</v>
      </c>
      <c r="T42" s="4">
        <v>106.958057576396</v>
      </c>
      <c r="U42" s="4">
        <v>121.92895005644699</v>
      </c>
      <c r="V42" s="4">
        <v>73.534519990912997</v>
      </c>
      <c r="W42" s="4">
        <v>99.501575000000003</v>
      </c>
      <c r="X42" s="4">
        <v>3.0933777777777798</v>
      </c>
      <c r="Y42" s="4">
        <v>-1.0943053101142699</v>
      </c>
    </row>
    <row r="43" spans="1:25" x14ac:dyDescent="0.3">
      <c r="A43" s="3" t="s">
        <v>623</v>
      </c>
      <c r="B43" s="4">
        <v>2451.8420875461202</v>
      </c>
      <c r="C43" s="4">
        <v>446.17097167171897</v>
      </c>
      <c r="D43" s="4">
        <v>1114.8035213420001</v>
      </c>
      <c r="E43" s="4">
        <v>4351.3290780369098</v>
      </c>
      <c r="F43" s="4">
        <v>4012.8165805599201</v>
      </c>
      <c r="G43" s="4">
        <v>1997.7048781132</v>
      </c>
      <c r="H43" s="4">
        <v>2015.1117024467201</v>
      </c>
      <c r="I43" s="4">
        <v>7.7795195768030103</v>
      </c>
      <c r="J43" s="4">
        <v>117.47510267663</v>
      </c>
      <c r="K43" s="4">
        <v>87.708677570271107</v>
      </c>
      <c r="L43" s="4">
        <v>111.399935761633</v>
      </c>
      <c r="M43" s="4">
        <v>173.94967261012201</v>
      </c>
      <c r="N43" s="4">
        <v>116.909866643424</v>
      </c>
      <c r="O43" s="4">
        <v>113.239223465679</v>
      </c>
      <c r="P43" s="4">
        <v>129.11324473891901</v>
      </c>
      <c r="Q43" s="4">
        <v>108.337441723081</v>
      </c>
      <c r="R43" s="4">
        <v>127.94885480842299</v>
      </c>
      <c r="S43" s="4">
        <v>101.363118700713</v>
      </c>
      <c r="T43" s="4">
        <v>109.56361663281</v>
      </c>
      <c r="U43" s="4">
        <v>143.38105390812899</v>
      </c>
      <c r="V43" s="4">
        <v>73.531930721461293</v>
      </c>
      <c r="W43" s="4">
        <v>99.860003000000006</v>
      </c>
      <c r="X43" s="4">
        <v>3.1154649999999999</v>
      </c>
      <c r="Y43" s="4">
        <v>8.8822045997694499</v>
      </c>
    </row>
    <row r="44" spans="1:25" x14ac:dyDescent="0.3">
      <c r="A44" s="3" t="s">
        <v>624</v>
      </c>
      <c r="B44" s="4">
        <v>2412.8112005079101</v>
      </c>
      <c r="C44" s="4">
        <v>455.59172878044302</v>
      </c>
      <c r="D44" s="4">
        <v>1099.3307113483299</v>
      </c>
      <c r="E44" s="4">
        <v>4351.1986472593999</v>
      </c>
      <c r="F44" s="4">
        <v>3967.7336406367299</v>
      </c>
      <c r="G44" s="4">
        <v>1955.8256131975199</v>
      </c>
      <c r="H44" s="4">
        <v>2011.9080274392099</v>
      </c>
      <c r="I44" s="4">
        <v>8.8128591155952307</v>
      </c>
      <c r="J44" s="4">
        <v>102.95785894592601</v>
      </c>
      <c r="K44" s="4">
        <v>75.594590825324701</v>
      </c>
      <c r="L44" s="4">
        <v>104.956188030755</v>
      </c>
      <c r="M44" s="4">
        <v>66.141596386803599</v>
      </c>
      <c r="N44" s="4">
        <v>110.147589993899</v>
      </c>
      <c r="O44" s="4">
        <v>105.275710300553</v>
      </c>
      <c r="P44" s="4">
        <v>129.21557113312099</v>
      </c>
      <c r="Q44" s="4">
        <v>104.191101697598</v>
      </c>
      <c r="R44" s="4">
        <v>101.949818005476</v>
      </c>
      <c r="S44" s="4">
        <v>104.98815983846799</v>
      </c>
      <c r="T44" s="4">
        <v>111.09909375097099</v>
      </c>
      <c r="U44" s="4">
        <v>94.637390780327806</v>
      </c>
      <c r="V44" s="4">
        <v>74.600937334187194</v>
      </c>
      <c r="W44" s="4">
        <v>99.965633999999994</v>
      </c>
      <c r="X44" s="4">
        <v>3.1525750000000001</v>
      </c>
      <c r="Y44" s="4">
        <v>-5.6297422853068797</v>
      </c>
    </row>
    <row r="45" spans="1:25" x14ac:dyDescent="0.3">
      <c r="A45" s="3" t="s">
        <v>625</v>
      </c>
      <c r="B45" s="4">
        <v>2441.8165523685798</v>
      </c>
      <c r="C45" s="4">
        <v>419.13014390238402</v>
      </c>
      <c r="D45" s="4">
        <v>1121.7558712134301</v>
      </c>
      <c r="E45" s="4">
        <v>4391.3748628831399</v>
      </c>
      <c r="F45" s="4">
        <v>3982.7025674843699</v>
      </c>
      <c r="G45" s="4">
        <v>1973.16433248471</v>
      </c>
      <c r="H45" s="4">
        <v>2009.5382349996501</v>
      </c>
      <c r="I45" s="4">
        <v>9.3062493674354396</v>
      </c>
      <c r="J45" s="4">
        <v>101.033710465978</v>
      </c>
      <c r="K45" s="4">
        <v>86.872188852243099</v>
      </c>
      <c r="L45" s="4">
        <v>108.16458813820999</v>
      </c>
      <c r="M45" s="4">
        <v>53.6553072524081</v>
      </c>
      <c r="N45" s="4">
        <v>99.172735988843399</v>
      </c>
      <c r="O45" s="4">
        <v>95.885739795506197</v>
      </c>
      <c r="P45" s="4">
        <v>110.645574121311</v>
      </c>
      <c r="Q45" s="4">
        <v>95.687462700521394</v>
      </c>
      <c r="R45" s="4">
        <v>89.602072845824196</v>
      </c>
      <c r="S45" s="4">
        <v>97.851583887455106</v>
      </c>
      <c r="T45" s="4">
        <v>102.341816955825</v>
      </c>
      <c r="U45" s="4">
        <v>102.43007278114401</v>
      </c>
      <c r="V45" s="4">
        <v>77.778727217524306</v>
      </c>
      <c r="W45" s="4">
        <v>99.890872999999999</v>
      </c>
      <c r="X45" s="4">
        <v>3.238245</v>
      </c>
      <c r="Y45" s="4">
        <v>0.37570959696980999</v>
      </c>
    </row>
    <row r="46" spans="1:25" x14ac:dyDescent="0.3">
      <c r="A46" s="3" t="s">
        <v>626</v>
      </c>
      <c r="B46" s="4">
        <v>2511.8123754859998</v>
      </c>
      <c r="C46" s="4">
        <v>428.20929175978199</v>
      </c>
      <c r="D46" s="4">
        <v>1110.4407729132299</v>
      </c>
      <c r="E46" s="4">
        <v>4466.4264819159098</v>
      </c>
      <c r="F46" s="4">
        <v>4050.46244015909</v>
      </c>
      <c r="G46" s="4">
        <v>2013.1752023305801</v>
      </c>
      <c r="H46" s="4">
        <v>2037.2872378285001</v>
      </c>
      <c r="I46" s="4">
        <v>9.3131285926445297</v>
      </c>
      <c r="J46" s="4">
        <v>107.152722142806</v>
      </c>
      <c r="K46" s="4">
        <v>108.068643007517</v>
      </c>
      <c r="L46" s="4">
        <v>113.180180435921</v>
      </c>
      <c r="M46" s="4">
        <v>40.667495487523098</v>
      </c>
      <c r="N46" s="4">
        <v>107.728580144687</v>
      </c>
      <c r="O46" s="4">
        <v>102.98548987017</v>
      </c>
      <c r="P46" s="4">
        <v>126.59550644421201</v>
      </c>
      <c r="Q46" s="4">
        <v>99.792644301717701</v>
      </c>
      <c r="R46" s="4">
        <v>96.054340185198399</v>
      </c>
      <c r="S46" s="4">
        <v>101.12208141830899</v>
      </c>
      <c r="T46" s="4">
        <v>112.734407399529</v>
      </c>
      <c r="U46" s="4">
        <v>115.51983112583</v>
      </c>
      <c r="V46" s="4">
        <v>78.888093693304796</v>
      </c>
      <c r="W46" s="4">
        <v>100.250699</v>
      </c>
      <c r="X46" s="4">
        <v>3.1764363636363599</v>
      </c>
      <c r="Y46" s="4">
        <v>-2.8319601380373101</v>
      </c>
    </row>
    <row r="47" spans="1:25" x14ac:dyDescent="0.3">
      <c r="A47" s="3" t="s">
        <v>627</v>
      </c>
      <c r="B47" s="4">
        <v>2566.9587590773699</v>
      </c>
      <c r="C47" s="4">
        <v>430.40252834981601</v>
      </c>
      <c r="D47" s="4">
        <v>1131.7395977358301</v>
      </c>
      <c r="E47" s="4">
        <v>4525.96127246377</v>
      </c>
      <c r="F47" s="4">
        <v>4129.1008851630804</v>
      </c>
      <c r="G47" s="4">
        <v>2041.7498303797099</v>
      </c>
      <c r="H47" s="4">
        <v>2087.3510547833698</v>
      </c>
      <c r="I47" s="4">
        <v>8.7685325483283005</v>
      </c>
      <c r="J47" s="4">
        <v>108.852131263431</v>
      </c>
      <c r="K47" s="4">
        <v>156.555756906813</v>
      </c>
      <c r="L47" s="4">
        <v>109.51633075589901</v>
      </c>
      <c r="M47" s="4">
        <v>134.155780813967</v>
      </c>
      <c r="N47" s="4">
        <v>104.90495075394399</v>
      </c>
      <c r="O47" s="4">
        <v>101.96476630849</v>
      </c>
      <c r="P47" s="4">
        <v>114.039035528158</v>
      </c>
      <c r="Q47" s="4">
        <v>96.933829675570806</v>
      </c>
      <c r="R47" s="4">
        <v>104.867559841727</v>
      </c>
      <c r="S47" s="4">
        <v>94.112391122913294</v>
      </c>
      <c r="T47" s="4">
        <v>107.925905163652</v>
      </c>
      <c r="U47" s="4">
        <v>113.73060527483</v>
      </c>
      <c r="V47" s="4">
        <v>79.435586652317795</v>
      </c>
      <c r="W47" s="4">
        <v>100.269758</v>
      </c>
      <c r="X47" s="4">
        <v>3.0853549999999998</v>
      </c>
      <c r="Y47" s="4">
        <v>0.56189666578651798</v>
      </c>
    </row>
    <row r="48" spans="1:25" x14ac:dyDescent="0.3">
      <c r="A48" s="3" t="s">
        <v>628</v>
      </c>
      <c r="B48" s="4">
        <v>2570.9690488901701</v>
      </c>
      <c r="C48" s="4">
        <v>433.18339817702201</v>
      </c>
      <c r="D48" s="4">
        <v>1133.9112520251899</v>
      </c>
      <c r="E48" s="4">
        <v>4520.4808596991497</v>
      </c>
      <c r="F48" s="4">
        <v>4138.0636990924004</v>
      </c>
      <c r="G48" s="4">
        <v>2025.8824834547499</v>
      </c>
      <c r="H48" s="4">
        <v>2112.18121563765</v>
      </c>
      <c r="I48" s="4">
        <v>8.4596566709540504</v>
      </c>
      <c r="J48" s="4">
        <v>114.23301980337401</v>
      </c>
      <c r="K48" s="4">
        <v>195.87808534668901</v>
      </c>
      <c r="L48" s="4">
        <v>113.115066350958</v>
      </c>
      <c r="M48" s="4">
        <v>262.23745252222801</v>
      </c>
      <c r="N48" s="4">
        <v>108.890011330951</v>
      </c>
      <c r="O48" s="4">
        <v>105.51983610947499</v>
      </c>
      <c r="P48" s="4">
        <v>120.083516057007</v>
      </c>
      <c r="Q48" s="4">
        <v>109.94468601957099</v>
      </c>
      <c r="R48" s="4">
        <v>151.53383122381999</v>
      </c>
      <c r="S48" s="4">
        <v>95.154516049851196</v>
      </c>
      <c r="T48" s="4">
        <v>110.468030966036</v>
      </c>
      <c r="U48" s="4">
        <v>109.55520564103701</v>
      </c>
      <c r="V48" s="4">
        <v>83.354457288782896</v>
      </c>
      <c r="W48" s="4">
        <v>100.226636</v>
      </c>
      <c r="X48" s="4">
        <v>2.9959449999999999</v>
      </c>
      <c r="Y48" s="4">
        <v>6.6295699673500505E-2</v>
      </c>
    </row>
    <row r="49" spans="1:25" x14ac:dyDescent="0.3">
      <c r="A49" s="3" t="s">
        <v>629</v>
      </c>
      <c r="B49" s="4">
        <v>2558.1999999999998</v>
      </c>
      <c r="C49" s="4">
        <v>404</v>
      </c>
      <c r="D49" s="4">
        <v>1158.7</v>
      </c>
      <c r="E49" s="4">
        <v>4503.6000000000004</v>
      </c>
      <c r="F49" s="4">
        <v>4120.8999999999996</v>
      </c>
      <c r="G49" s="4">
        <v>2060</v>
      </c>
      <c r="H49" s="4">
        <v>2060.9</v>
      </c>
      <c r="I49" s="4">
        <v>8.4976463273825402</v>
      </c>
      <c r="J49" s="4">
        <v>108.973271232088</v>
      </c>
      <c r="K49" s="4">
        <v>156.46129432937701</v>
      </c>
      <c r="L49" s="4">
        <v>114.243899567955</v>
      </c>
      <c r="M49" s="4">
        <v>130.66035082049501</v>
      </c>
      <c r="N49" s="4">
        <v>105.916996426392</v>
      </c>
      <c r="O49" s="4">
        <v>102.803748032106</v>
      </c>
      <c r="P49" s="4">
        <v>115.666364810018</v>
      </c>
      <c r="Q49" s="4">
        <v>99.637685772114807</v>
      </c>
      <c r="R49" s="4">
        <v>113.898973950437</v>
      </c>
      <c r="S49" s="4">
        <v>94.566004805635401</v>
      </c>
      <c r="T49" s="4">
        <v>104.81549587929101</v>
      </c>
      <c r="U49" s="4">
        <v>110.741453040298</v>
      </c>
      <c r="V49" s="4">
        <v>82.917563673440597</v>
      </c>
      <c r="W49" s="4">
        <v>99.886290000000002</v>
      </c>
      <c r="X49" s="4">
        <v>2.9920761904761899</v>
      </c>
      <c r="Y49" s="4">
        <v>0.61281960063100305</v>
      </c>
    </row>
    <row r="50" spans="1:25" x14ac:dyDescent="0.3">
      <c r="A50" s="3" t="s">
        <v>630</v>
      </c>
      <c r="B50" s="4">
        <v>2544.6</v>
      </c>
      <c r="C50" s="4">
        <v>382.7</v>
      </c>
      <c r="D50" s="4">
        <v>1175.9000000000001</v>
      </c>
      <c r="E50" s="4">
        <v>4469.8</v>
      </c>
      <c r="F50" s="4">
        <v>4103.2</v>
      </c>
      <c r="G50" s="4">
        <v>2113.8000000000002</v>
      </c>
      <c r="H50" s="4">
        <v>1989.4</v>
      </c>
      <c r="I50" s="4">
        <v>8.1994720121705704</v>
      </c>
      <c r="J50" s="4">
        <v>110.73930301883399</v>
      </c>
      <c r="K50" s="4">
        <v>118.66899358371801</v>
      </c>
      <c r="L50" s="4">
        <v>114.50289865733301</v>
      </c>
      <c r="M50" s="4">
        <v>47.044650150317203</v>
      </c>
      <c r="N50" s="4">
        <v>109.01975943519599</v>
      </c>
      <c r="O50" s="4">
        <v>103.88401922070599</v>
      </c>
      <c r="P50" s="4">
        <v>129.73093021749801</v>
      </c>
      <c r="Q50" s="4">
        <v>94.335711842315305</v>
      </c>
      <c r="R50" s="4">
        <v>77.482059007886605</v>
      </c>
      <c r="S50" s="4">
        <v>100.329304372473</v>
      </c>
      <c r="T50" s="4">
        <v>105.742362532673</v>
      </c>
      <c r="U50" s="4">
        <v>127.355094235761</v>
      </c>
      <c r="V50" s="4">
        <v>84.645830825078704</v>
      </c>
      <c r="W50" s="4">
        <v>100.072766</v>
      </c>
      <c r="X50" s="4">
        <v>3.01362</v>
      </c>
      <c r="Y50" s="4">
        <v>6.5643804836681801</v>
      </c>
    </row>
    <row r="51" spans="1:25" x14ac:dyDescent="0.3">
      <c r="A51" s="3" t="s">
        <v>631</v>
      </c>
      <c r="B51" s="4">
        <v>2510.8000000000002</v>
      </c>
      <c r="C51" s="4">
        <v>400.3</v>
      </c>
      <c r="D51" s="4">
        <v>1175.4000000000001</v>
      </c>
      <c r="E51" s="4">
        <v>4456.6000000000004</v>
      </c>
      <c r="F51" s="4">
        <v>4086.5</v>
      </c>
      <c r="G51" s="4">
        <v>2126.5</v>
      </c>
      <c r="H51" s="4">
        <v>1960</v>
      </c>
      <c r="I51" s="4">
        <v>8.3045370910559608</v>
      </c>
      <c r="J51" s="4">
        <v>109.85408751521</v>
      </c>
      <c r="K51" s="4">
        <v>89.415301263713602</v>
      </c>
      <c r="L51" s="4">
        <v>115.169835065361</v>
      </c>
      <c r="M51" s="4">
        <v>39.182724541994702</v>
      </c>
      <c r="N51" s="4">
        <v>114.84223829861401</v>
      </c>
      <c r="O51" s="4">
        <v>110.715010646742</v>
      </c>
      <c r="P51" s="4">
        <v>129.584935735508</v>
      </c>
      <c r="Q51" s="4">
        <v>95.825246897579504</v>
      </c>
      <c r="R51" s="4">
        <v>80.935308713262202</v>
      </c>
      <c r="S51" s="4">
        <v>101.12049197903301</v>
      </c>
      <c r="T51" s="4">
        <v>109.001000726794</v>
      </c>
      <c r="U51" s="4">
        <v>128.24981747564999</v>
      </c>
      <c r="V51" s="4">
        <v>86.840228071087395</v>
      </c>
      <c r="W51" s="4">
        <v>99.865211000000002</v>
      </c>
      <c r="X51" s="4">
        <v>2.9518238095238098</v>
      </c>
      <c r="Y51" s="4">
        <v>-1.5450534855072</v>
      </c>
    </row>
    <row r="52" spans="1:25" x14ac:dyDescent="0.3">
      <c r="A52" s="3" t="s">
        <v>632</v>
      </c>
      <c r="B52" s="4">
        <v>2509.6</v>
      </c>
      <c r="C52" s="4">
        <v>410.3</v>
      </c>
      <c r="D52" s="4">
        <v>1177.2</v>
      </c>
      <c r="E52" s="4">
        <v>4445.3</v>
      </c>
      <c r="F52" s="4">
        <v>4097.2</v>
      </c>
      <c r="G52" s="4">
        <v>2031.1</v>
      </c>
      <c r="H52" s="4">
        <v>2066.1</v>
      </c>
      <c r="I52" s="4">
        <v>7.8307425820529604</v>
      </c>
      <c r="J52" s="4">
        <v>111.004716399796</v>
      </c>
      <c r="K52" s="4">
        <v>77.084889636268898</v>
      </c>
      <c r="L52" s="4">
        <v>113.01018794308899</v>
      </c>
      <c r="M52" s="4">
        <v>36.001507613575498</v>
      </c>
      <c r="N52" s="4">
        <v>109.70037479299199</v>
      </c>
      <c r="O52" s="4">
        <v>105.00008928818301</v>
      </c>
      <c r="P52" s="4">
        <v>128.078886214108</v>
      </c>
      <c r="Q52" s="4">
        <v>99.216455266347296</v>
      </c>
      <c r="R52" s="4">
        <v>79.497048266743306</v>
      </c>
      <c r="S52" s="4">
        <v>106.229183702911</v>
      </c>
      <c r="T52" s="4">
        <v>108.337240388236</v>
      </c>
      <c r="U52" s="4">
        <v>131.03518226174</v>
      </c>
      <c r="V52" s="4">
        <v>89.769565704309102</v>
      </c>
      <c r="W52" s="4">
        <v>99.778142000000003</v>
      </c>
      <c r="X52" s="4">
        <v>2.9105772727272701</v>
      </c>
      <c r="Y52" s="4">
        <v>-1.4835743986832</v>
      </c>
    </row>
    <row r="53" spans="1:25" x14ac:dyDescent="0.3">
      <c r="A53" s="3" t="s">
        <v>633</v>
      </c>
      <c r="B53" s="4">
        <v>2532.3000000000002</v>
      </c>
      <c r="C53" s="4">
        <v>424.9</v>
      </c>
      <c r="D53" s="4">
        <v>1188.5</v>
      </c>
      <c r="E53" s="4">
        <v>4488.3</v>
      </c>
      <c r="F53" s="4">
        <v>4145.7</v>
      </c>
      <c r="G53" s="4">
        <v>2167.1999999999998</v>
      </c>
      <c r="H53" s="4">
        <v>1978.5</v>
      </c>
      <c r="I53" s="4">
        <v>7.6331796002940999</v>
      </c>
      <c r="J53" s="4">
        <v>113.066648315728</v>
      </c>
      <c r="K53" s="4">
        <v>79.248567498030198</v>
      </c>
      <c r="L53" s="4">
        <v>110.835844200864</v>
      </c>
      <c r="M53" s="4">
        <v>40.8817085948779</v>
      </c>
      <c r="N53" s="4">
        <v>114.214050379151</v>
      </c>
      <c r="O53" s="4">
        <v>109.66128731029001</v>
      </c>
      <c r="P53" s="4">
        <v>130.74193726754899</v>
      </c>
      <c r="Q53" s="4">
        <v>102.83296582201</v>
      </c>
      <c r="R53" s="4">
        <v>79.091759774102101</v>
      </c>
      <c r="S53" s="4">
        <v>111.275949466185</v>
      </c>
      <c r="T53" s="4">
        <v>111.166232727744</v>
      </c>
      <c r="U53" s="4">
        <v>143.460700897181</v>
      </c>
      <c r="V53" s="4">
        <v>93.047366343756707</v>
      </c>
      <c r="W53" s="4">
        <v>99.900496000000004</v>
      </c>
      <c r="X53" s="4">
        <v>2.8733050000000002</v>
      </c>
      <c r="Y53" s="4">
        <v>2.09227178104504</v>
      </c>
    </row>
    <row r="54" spans="1:25" x14ac:dyDescent="0.3">
      <c r="A54" s="3" t="s">
        <v>634</v>
      </c>
      <c r="B54" s="4">
        <v>2606.8000000000002</v>
      </c>
      <c r="C54" s="4">
        <v>418.1</v>
      </c>
      <c r="D54" s="4">
        <v>1190.5</v>
      </c>
      <c r="E54" s="4">
        <v>4543.5</v>
      </c>
      <c r="F54" s="4">
        <v>4215.3999999999996</v>
      </c>
      <c r="G54" s="4">
        <v>2227</v>
      </c>
      <c r="H54" s="4">
        <v>1988.4</v>
      </c>
      <c r="I54" s="4">
        <v>7.2213051612193304</v>
      </c>
      <c r="J54" s="4">
        <v>113.61668225453801</v>
      </c>
      <c r="K54" s="4">
        <v>86.657854709654103</v>
      </c>
      <c r="L54" s="4">
        <v>112.46543832082099</v>
      </c>
      <c r="M54" s="4">
        <v>182.96997336295499</v>
      </c>
      <c r="N54" s="4">
        <v>113.333740085418</v>
      </c>
      <c r="O54" s="4">
        <v>108.880453583608</v>
      </c>
      <c r="P54" s="4">
        <v>129.01727583235001</v>
      </c>
      <c r="Q54" s="4">
        <v>108.13907533693001</v>
      </c>
      <c r="R54" s="4">
        <v>109.470053234479</v>
      </c>
      <c r="S54" s="4">
        <v>107.665745355417</v>
      </c>
      <c r="T54" s="4">
        <v>110.92165502664</v>
      </c>
      <c r="U54" s="4">
        <v>134.848088812399</v>
      </c>
      <c r="V54" s="4">
        <v>96.668259838843397</v>
      </c>
      <c r="W54" s="4">
        <v>99.788539999999998</v>
      </c>
      <c r="X54" s="4">
        <v>2.88546666666667</v>
      </c>
      <c r="Y54" s="4">
        <v>2.30207632945472</v>
      </c>
    </row>
    <row r="55" spans="1:25" x14ac:dyDescent="0.3">
      <c r="A55" s="3" t="s">
        <v>635</v>
      </c>
      <c r="B55" s="4">
        <v>2665.4</v>
      </c>
      <c r="C55" s="4">
        <v>439.3</v>
      </c>
      <c r="D55" s="4">
        <v>1179.7</v>
      </c>
      <c r="E55" s="4">
        <v>4652.5</v>
      </c>
      <c r="F55" s="4">
        <v>4284.3999999999996</v>
      </c>
      <c r="G55" s="4">
        <v>2262.1999999999998</v>
      </c>
      <c r="H55" s="4">
        <v>2022.2</v>
      </c>
      <c r="I55" s="4">
        <v>7.9118753358409499</v>
      </c>
      <c r="J55" s="4">
        <v>122.384685307467</v>
      </c>
      <c r="K55" s="4">
        <v>85.958794610783698</v>
      </c>
      <c r="L55" s="4">
        <v>115.96720426382601</v>
      </c>
      <c r="M55" s="4">
        <v>160.30957685720099</v>
      </c>
      <c r="N55" s="4">
        <v>111.533661640373</v>
      </c>
      <c r="O55" s="4">
        <v>106.012876258137</v>
      </c>
      <c r="P55" s="4">
        <v>132.76691593266699</v>
      </c>
      <c r="Q55" s="4">
        <v>109.256900289048</v>
      </c>
      <c r="R55" s="4">
        <v>111.21945832050299</v>
      </c>
      <c r="S55" s="4">
        <v>108.558964163694</v>
      </c>
      <c r="T55" s="4">
        <v>116.182691404667</v>
      </c>
      <c r="U55" s="4">
        <v>185.770461128243</v>
      </c>
      <c r="V55" s="4">
        <v>98.600436516970902</v>
      </c>
      <c r="W55" s="4">
        <v>100.10497599999999</v>
      </c>
      <c r="X55" s="4">
        <v>2.8786473684210501</v>
      </c>
      <c r="Y55" s="4">
        <v>10.331723613822801</v>
      </c>
    </row>
    <row r="56" spans="1:25" x14ac:dyDescent="0.3">
      <c r="A56" s="3" t="s">
        <v>636</v>
      </c>
      <c r="B56" s="4">
        <v>2732.6</v>
      </c>
      <c r="C56" s="4">
        <v>433.7</v>
      </c>
      <c r="D56" s="4">
        <v>1141.3</v>
      </c>
      <c r="E56" s="4">
        <v>4713.3</v>
      </c>
      <c r="F56" s="4">
        <v>4307.6000000000004</v>
      </c>
      <c r="G56" s="4">
        <v>2256.6</v>
      </c>
      <c r="H56" s="4">
        <v>2051</v>
      </c>
      <c r="I56" s="4">
        <v>8.6054356820062399</v>
      </c>
      <c r="J56" s="4">
        <v>106.149264450582</v>
      </c>
      <c r="K56" s="4">
        <v>84.891512557281104</v>
      </c>
      <c r="L56" s="4">
        <v>108.783059763727</v>
      </c>
      <c r="M56" s="4">
        <v>81.949711527194793</v>
      </c>
      <c r="N56" s="4">
        <v>110.22904209884101</v>
      </c>
      <c r="O56" s="4">
        <v>104.151824236823</v>
      </c>
      <c r="P56" s="4">
        <v>133.829407537561</v>
      </c>
      <c r="Q56" s="4">
        <v>102.032448719851</v>
      </c>
      <c r="R56" s="4">
        <v>88.333125327968105</v>
      </c>
      <c r="S56" s="4">
        <v>106.904280550994</v>
      </c>
      <c r="T56" s="4">
        <v>116.50356339755901</v>
      </c>
      <c r="U56" s="4">
        <v>98.346969519705198</v>
      </c>
      <c r="V56" s="4">
        <v>100.03067165954199</v>
      </c>
      <c r="W56" s="4">
        <v>100.401203</v>
      </c>
      <c r="X56" s="4">
        <v>2.85731</v>
      </c>
      <c r="Y56" s="4">
        <v>-4.0165182221701601</v>
      </c>
    </row>
    <row r="57" spans="1:25" x14ac:dyDescent="0.3">
      <c r="A57" s="3" t="s">
        <v>637</v>
      </c>
      <c r="B57" s="4">
        <v>2787.4</v>
      </c>
      <c r="C57" s="4">
        <v>433.4</v>
      </c>
      <c r="D57" s="4">
        <v>1106.8</v>
      </c>
      <c r="E57" s="4">
        <v>4786.5</v>
      </c>
      <c r="F57" s="4">
        <v>4327.6000000000004</v>
      </c>
      <c r="G57" s="4">
        <v>2263.6999999999998</v>
      </c>
      <c r="H57" s="4">
        <v>2063.9</v>
      </c>
      <c r="I57" s="4">
        <v>9.5873811762248007</v>
      </c>
      <c r="J57" s="4">
        <v>106.181819433019</v>
      </c>
      <c r="K57" s="4">
        <v>83.841255833816206</v>
      </c>
      <c r="L57" s="4">
        <v>113.364490132916</v>
      </c>
      <c r="M57" s="4">
        <v>54.532971855764899</v>
      </c>
      <c r="N57" s="4">
        <v>102.743449838752</v>
      </c>
      <c r="O57" s="4">
        <v>96.662213324365396</v>
      </c>
      <c r="P57" s="4">
        <v>126.632810147246</v>
      </c>
      <c r="Q57" s="4">
        <v>98.708168948891299</v>
      </c>
      <c r="R57" s="4">
        <v>81.239872958511995</v>
      </c>
      <c r="S57" s="4">
        <v>104.92034439780301</v>
      </c>
      <c r="T57" s="4">
        <v>108.48001970572599</v>
      </c>
      <c r="U57" s="4">
        <v>114.82198229932099</v>
      </c>
      <c r="V57" s="4">
        <v>99.946823233899806</v>
      </c>
      <c r="W57" s="4">
        <v>100.725005</v>
      </c>
      <c r="X57" s="4">
        <v>2.854835</v>
      </c>
      <c r="Y57" s="4">
        <v>0.108355777570427</v>
      </c>
    </row>
    <row r="58" spans="1:25" x14ac:dyDescent="0.3">
      <c r="A58" s="3" t="s">
        <v>638</v>
      </c>
      <c r="B58" s="4">
        <v>2807.7</v>
      </c>
      <c r="C58" s="4">
        <v>422.9</v>
      </c>
      <c r="D58" s="4">
        <v>1110</v>
      </c>
      <c r="E58" s="4">
        <v>4779.1000000000004</v>
      </c>
      <c r="F58" s="4">
        <v>4340.5</v>
      </c>
      <c r="G58" s="4">
        <v>2259.4</v>
      </c>
      <c r="H58" s="4">
        <v>2081.1</v>
      </c>
      <c r="I58" s="4">
        <v>9.1774601912494003</v>
      </c>
      <c r="J58" s="4">
        <v>115.871470441955</v>
      </c>
      <c r="K58" s="4">
        <v>112.140440173657</v>
      </c>
      <c r="L58" s="4">
        <v>115.93752281122801</v>
      </c>
      <c r="M58" s="4">
        <v>54.093885747087199</v>
      </c>
      <c r="N58" s="4">
        <v>106.49508411052</v>
      </c>
      <c r="O58" s="4">
        <v>99.195475715825907</v>
      </c>
      <c r="P58" s="4">
        <v>136.16382945015499</v>
      </c>
      <c r="Q58" s="4">
        <v>111.471742043836</v>
      </c>
      <c r="R58" s="4">
        <v>95.214462832203694</v>
      </c>
      <c r="S58" s="4">
        <v>117.253248771237</v>
      </c>
      <c r="T58" s="4">
        <v>121.40536265310899</v>
      </c>
      <c r="U58" s="4">
        <v>132.36733882654099</v>
      </c>
      <c r="V58" s="4">
        <v>98.8751948655853</v>
      </c>
      <c r="W58" s="4">
        <v>101.007853</v>
      </c>
      <c r="X58" s="4">
        <v>2.8401000000000001</v>
      </c>
      <c r="Y58" s="4">
        <v>2.00696498004364</v>
      </c>
    </row>
    <row r="59" spans="1:25" x14ac:dyDescent="0.3">
      <c r="A59" s="3" t="s">
        <v>639</v>
      </c>
      <c r="B59" s="4">
        <v>2801.5</v>
      </c>
      <c r="C59" s="4">
        <v>426.7</v>
      </c>
      <c r="D59" s="4">
        <v>1087.9000000000001</v>
      </c>
      <c r="E59" s="4">
        <v>4743.2</v>
      </c>
      <c r="F59" s="4">
        <v>4316.1000000000004</v>
      </c>
      <c r="G59" s="4">
        <v>2233.1</v>
      </c>
      <c r="H59" s="4">
        <v>2083</v>
      </c>
      <c r="I59" s="4">
        <v>9.0044695564176092</v>
      </c>
      <c r="J59" s="4">
        <v>117.530089179306</v>
      </c>
      <c r="K59" s="4">
        <v>163.93856586080699</v>
      </c>
      <c r="L59" s="4">
        <v>113.188643117952</v>
      </c>
      <c r="M59" s="4">
        <v>43.077139138265998</v>
      </c>
      <c r="N59" s="4">
        <v>105.78363985008301</v>
      </c>
      <c r="O59" s="4">
        <v>99.111828477964494</v>
      </c>
      <c r="P59" s="4">
        <v>131.52513742570099</v>
      </c>
      <c r="Q59" s="4">
        <v>107.527180497486</v>
      </c>
      <c r="R59" s="4">
        <v>92.241369823003595</v>
      </c>
      <c r="S59" s="4">
        <v>112.96320802077901</v>
      </c>
      <c r="T59" s="4">
        <v>116.524271848187</v>
      </c>
      <c r="U59" s="4">
        <v>137.81275125251301</v>
      </c>
      <c r="V59" s="4">
        <v>101.37956585777501</v>
      </c>
      <c r="W59" s="4">
        <v>101.033466</v>
      </c>
      <c r="X59" s="4">
        <v>2.8404400000000001</v>
      </c>
      <c r="Y59" s="4">
        <v>2.0066192240813199</v>
      </c>
    </row>
    <row r="60" spans="1:25" x14ac:dyDescent="0.3">
      <c r="A60" s="3" t="s">
        <v>640</v>
      </c>
      <c r="B60" s="4">
        <v>2776.2</v>
      </c>
      <c r="C60" s="4">
        <v>450.4</v>
      </c>
      <c r="D60" s="4">
        <v>1107.8</v>
      </c>
      <c r="E60" s="4">
        <v>4697.8</v>
      </c>
      <c r="F60" s="4">
        <v>4334.3999999999996</v>
      </c>
      <c r="G60" s="4">
        <v>2263.9</v>
      </c>
      <c r="H60" s="4">
        <v>2070.5</v>
      </c>
      <c r="I60" s="4">
        <v>7.7355357827068003</v>
      </c>
      <c r="J60" s="4">
        <v>122.84055265520399</v>
      </c>
      <c r="K60" s="4">
        <v>187.887006084136</v>
      </c>
      <c r="L60" s="4">
        <v>121.532580037066</v>
      </c>
      <c r="M60" s="4">
        <v>185.565911351137</v>
      </c>
      <c r="N60" s="4">
        <v>109.3565240129</v>
      </c>
      <c r="O60" s="4">
        <v>102.257677233827</v>
      </c>
      <c r="P60" s="4">
        <v>136.41523850710701</v>
      </c>
      <c r="Q60" s="4">
        <v>120.087519332431</v>
      </c>
      <c r="R60" s="4">
        <v>128.95105540812301</v>
      </c>
      <c r="S60" s="4">
        <v>116.935417877871</v>
      </c>
      <c r="T60" s="4">
        <v>118.94541670216501</v>
      </c>
      <c r="U60" s="4">
        <v>132.43624854837</v>
      </c>
      <c r="V60" s="4">
        <v>105.19618170343701</v>
      </c>
      <c r="W60" s="4">
        <v>101.27378400000001</v>
      </c>
      <c r="X60" s="4">
        <v>2.8464142857142898</v>
      </c>
      <c r="Y60" s="4">
        <v>1.0125796663889</v>
      </c>
    </row>
    <row r="61" spans="1:25" x14ac:dyDescent="0.3">
      <c r="A61" s="3" t="s">
        <v>641</v>
      </c>
      <c r="B61" s="4">
        <v>2738.2</v>
      </c>
      <c r="C61" s="4">
        <v>439.1</v>
      </c>
      <c r="D61" s="4">
        <v>1118.0999999999999</v>
      </c>
      <c r="E61" s="4">
        <v>4648.3</v>
      </c>
      <c r="F61" s="4">
        <v>4295.5</v>
      </c>
      <c r="G61" s="4">
        <v>2260.4</v>
      </c>
      <c r="H61" s="4">
        <v>2035.1</v>
      </c>
      <c r="I61" s="4">
        <v>7.5898715659488403</v>
      </c>
      <c r="J61" s="4">
        <v>122.952135955432</v>
      </c>
      <c r="K61" s="4">
        <v>162.12969707125799</v>
      </c>
      <c r="L61" s="4">
        <v>117.323240525815</v>
      </c>
      <c r="M61" s="4">
        <v>190.69179750769999</v>
      </c>
      <c r="N61" s="4">
        <v>116.972282750806</v>
      </c>
      <c r="O61" s="4">
        <v>110.32439640297601</v>
      </c>
      <c r="P61" s="4">
        <v>139.67063365236501</v>
      </c>
      <c r="Q61" s="4">
        <v>119.29581992787401</v>
      </c>
      <c r="R61" s="4">
        <v>127.26393575270799</v>
      </c>
      <c r="S61" s="4">
        <v>116.462152950375</v>
      </c>
      <c r="T61" s="4">
        <v>116.156533361768</v>
      </c>
      <c r="U61" s="4">
        <v>142.38351765744201</v>
      </c>
      <c r="V61" s="4">
        <v>101.725991957807</v>
      </c>
      <c r="W61" s="4">
        <v>101.527828</v>
      </c>
      <c r="X61" s="4">
        <v>2.8388399999999998</v>
      </c>
      <c r="Y61" s="4">
        <v>0.87142102425636803</v>
      </c>
    </row>
    <row r="62" spans="1:25" x14ac:dyDescent="0.3">
      <c r="A62" s="3" t="s">
        <v>642</v>
      </c>
      <c r="B62" s="4">
        <v>2720.6</v>
      </c>
      <c r="C62" s="4">
        <v>443.9</v>
      </c>
      <c r="D62" s="4">
        <v>1141.7</v>
      </c>
      <c r="E62" s="4">
        <v>4632.3999999999996</v>
      </c>
      <c r="F62" s="4">
        <v>4306.1000000000004</v>
      </c>
      <c r="G62" s="4">
        <v>2350.6</v>
      </c>
      <c r="H62" s="4">
        <v>1955.5</v>
      </c>
      <c r="I62" s="4">
        <v>7.0438649512131999</v>
      </c>
      <c r="J62" s="4">
        <v>121.71558714141401</v>
      </c>
      <c r="K62" s="4">
        <v>120.864504972527</v>
      </c>
      <c r="L62" s="4">
        <v>118.731667917138</v>
      </c>
      <c r="M62" s="4">
        <v>70.100985574879203</v>
      </c>
      <c r="N62" s="4">
        <v>112.059687963044</v>
      </c>
      <c r="O62" s="4">
        <v>102.83590840225099</v>
      </c>
      <c r="P62" s="4">
        <v>148.53971601519601</v>
      </c>
      <c r="Q62" s="4">
        <v>111.59896554615599</v>
      </c>
      <c r="R62" s="4">
        <v>96.802051554134707</v>
      </c>
      <c r="S62" s="4">
        <v>116.86112883166</v>
      </c>
      <c r="T62" s="4">
        <v>117.572555417358</v>
      </c>
      <c r="U62" s="4">
        <v>140.31960897716399</v>
      </c>
      <c r="V62" s="4">
        <v>100.568654510269</v>
      </c>
      <c r="W62" s="4">
        <v>101.897344</v>
      </c>
      <c r="X62" s="4">
        <v>2.8236736842105299</v>
      </c>
      <c r="Y62" s="4">
        <v>7.7233033673052303</v>
      </c>
    </row>
    <row r="63" spans="1:25" x14ac:dyDescent="0.3">
      <c r="A63" s="3" t="s">
        <v>643</v>
      </c>
      <c r="B63" s="4">
        <v>2702.4</v>
      </c>
      <c r="C63" s="4">
        <v>447.2</v>
      </c>
      <c r="D63" s="4">
        <v>1176.5999999999999</v>
      </c>
      <c r="E63" s="4">
        <v>4672</v>
      </c>
      <c r="F63" s="4">
        <v>4326.2</v>
      </c>
      <c r="G63" s="4">
        <v>2345.4</v>
      </c>
      <c r="H63" s="4">
        <v>1980.8</v>
      </c>
      <c r="I63" s="4">
        <v>7.4015410958904102</v>
      </c>
      <c r="J63" s="4">
        <v>119.436561951622</v>
      </c>
      <c r="K63" s="4">
        <v>85.685015034671807</v>
      </c>
      <c r="L63" s="4">
        <v>117.26234933487299</v>
      </c>
      <c r="M63" s="4">
        <v>36.804045345158499</v>
      </c>
      <c r="N63" s="4">
        <v>110.564368517389</v>
      </c>
      <c r="O63" s="4">
        <v>99.850142561864303</v>
      </c>
      <c r="P63" s="4">
        <v>154.39109751922501</v>
      </c>
      <c r="Q63" s="4">
        <v>109.72521866176</v>
      </c>
      <c r="R63" s="4">
        <v>72.302160775264895</v>
      </c>
      <c r="S63" s="4">
        <v>123.03382080324801</v>
      </c>
      <c r="T63" s="4">
        <v>118.393481996999</v>
      </c>
      <c r="U63" s="4">
        <v>151.80782301845801</v>
      </c>
      <c r="V63" s="4">
        <v>102.68117481005299</v>
      </c>
      <c r="W63" s="4">
        <v>102.17095399999999</v>
      </c>
      <c r="X63" s="4">
        <v>2.8027619047618999</v>
      </c>
      <c r="Y63" s="4">
        <v>-0.87579766806070702</v>
      </c>
    </row>
    <row r="64" spans="1:25" x14ac:dyDescent="0.3">
      <c r="A64" s="3" t="s">
        <v>644</v>
      </c>
      <c r="B64" s="4">
        <v>2714.4</v>
      </c>
      <c r="C64" s="4">
        <v>438</v>
      </c>
      <c r="D64" s="4">
        <v>1180.4000000000001</v>
      </c>
      <c r="E64" s="4">
        <v>4691.2</v>
      </c>
      <c r="F64" s="4">
        <v>4332.8</v>
      </c>
      <c r="G64" s="4">
        <v>2363.8000000000002</v>
      </c>
      <c r="H64" s="4">
        <v>1969</v>
      </c>
      <c r="I64" s="4">
        <v>7.6398362892223703</v>
      </c>
      <c r="J64" s="4">
        <v>122.17764793098399</v>
      </c>
      <c r="K64" s="4">
        <v>78.531244309828296</v>
      </c>
      <c r="L64" s="4">
        <v>116.812268864708</v>
      </c>
      <c r="M64" s="4">
        <v>43.8674941338857</v>
      </c>
      <c r="N64" s="4">
        <v>108.481025015253</v>
      </c>
      <c r="O64" s="4">
        <v>98.006157968800693</v>
      </c>
      <c r="P64" s="4">
        <v>151.12297946571201</v>
      </c>
      <c r="Q64" s="4">
        <v>112.612707654864</v>
      </c>
      <c r="R64" s="4">
        <v>79.297777099268899</v>
      </c>
      <c r="S64" s="4">
        <v>124.460354030541</v>
      </c>
      <c r="T64" s="4">
        <v>116.033808543834</v>
      </c>
      <c r="U64" s="4">
        <v>168.49596319813901</v>
      </c>
      <c r="V64" s="4">
        <v>106.02223561039401</v>
      </c>
      <c r="W64" s="4">
        <v>102.138251</v>
      </c>
      <c r="X64" s="4">
        <v>2.79115909090909</v>
      </c>
      <c r="Y64" s="4">
        <v>-0.618607247669414</v>
      </c>
    </row>
    <row r="65" spans="1:25" x14ac:dyDescent="0.3">
      <c r="A65" s="3" t="s">
        <v>645</v>
      </c>
      <c r="B65" s="4">
        <v>2662.3</v>
      </c>
      <c r="C65" s="4">
        <v>439.9</v>
      </c>
      <c r="D65" s="4">
        <v>1255.0999999999999</v>
      </c>
      <c r="E65" s="4">
        <v>4729</v>
      </c>
      <c r="F65" s="4">
        <v>4357.3</v>
      </c>
      <c r="G65" s="4">
        <v>2407.9</v>
      </c>
      <c r="H65" s="4">
        <v>1949.4</v>
      </c>
      <c r="I65" s="4">
        <v>7.8600126876718104</v>
      </c>
      <c r="J65" s="4">
        <v>123.72453697766301</v>
      </c>
      <c r="K65" s="4">
        <v>82.810789167549103</v>
      </c>
      <c r="L65" s="4">
        <v>115.040741836297</v>
      </c>
      <c r="M65" s="4">
        <v>40.650236611574996</v>
      </c>
      <c r="N65" s="4">
        <v>115.501124378977</v>
      </c>
      <c r="O65" s="4">
        <v>104.981024047093</v>
      </c>
      <c r="P65" s="4">
        <v>156.097601921289</v>
      </c>
      <c r="Q65" s="4">
        <v>118.285872215278</v>
      </c>
      <c r="R65" s="4">
        <v>90.776473290145702</v>
      </c>
      <c r="S65" s="4">
        <v>128.06892218827801</v>
      </c>
      <c r="T65" s="4">
        <v>121.809068448514</v>
      </c>
      <c r="U65" s="4">
        <v>165.987487529112</v>
      </c>
      <c r="V65" s="4">
        <v>109.402220692292</v>
      </c>
      <c r="W65" s="4">
        <v>101.993499</v>
      </c>
      <c r="X65" s="4">
        <v>2.7924000000000002</v>
      </c>
      <c r="Y65" s="4">
        <v>3.2010958421166502</v>
      </c>
    </row>
    <row r="66" spans="1:25" x14ac:dyDescent="0.3">
      <c r="A66" s="3" t="s">
        <v>646</v>
      </c>
      <c r="B66" s="4">
        <v>2678.9</v>
      </c>
      <c r="C66" s="4">
        <v>428.5</v>
      </c>
      <c r="D66" s="4">
        <v>1244.9000000000001</v>
      </c>
      <c r="E66" s="4">
        <v>4709.7</v>
      </c>
      <c r="F66" s="4">
        <v>4352.2</v>
      </c>
      <c r="G66" s="4">
        <v>2449.8000000000002</v>
      </c>
      <c r="H66" s="4">
        <v>1902.4</v>
      </c>
      <c r="I66" s="4">
        <v>7.5907170308087597</v>
      </c>
      <c r="J66" s="4">
        <v>123.65452856333999</v>
      </c>
      <c r="K66" s="4">
        <v>90.968724973356501</v>
      </c>
      <c r="L66" s="4">
        <v>120.691520213815</v>
      </c>
      <c r="M66" s="4">
        <v>83.530421518434196</v>
      </c>
      <c r="N66" s="4">
        <v>111.98971498300401</v>
      </c>
      <c r="O66" s="4">
        <v>101.786719738088</v>
      </c>
      <c r="P66" s="4">
        <v>150.29327168073499</v>
      </c>
      <c r="Q66" s="4">
        <v>119.98910606431301</v>
      </c>
      <c r="R66" s="4">
        <v>96.898881034306996</v>
      </c>
      <c r="S66" s="4">
        <v>128.20058411118501</v>
      </c>
      <c r="T66" s="4">
        <v>120.677733093139</v>
      </c>
      <c r="U66" s="4">
        <v>172.291734246998</v>
      </c>
      <c r="V66" s="4">
        <v>109.811883366804</v>
      </c>
      <c r="W66" s="4">
        <v>102.00156200000001</v>
      </c>
      <c r="X66" s="4">
        <v>2.8065857142857098</v>
      </c>
      <c r="Y66" s="4">
        <v>1.29840485631241</v>
      </c>
    </row>
    <row r="67" spans="1:25" x14ac:dyDescent="0.3">
      <c r="A67" s="3" t="s">
        <v>647</v>
      </c>
      <c r="B67" s="4">
        <v>2675.6</v>
      </c>
      <c r="C67" s="4">
        <v>469.2</v>
      </c>
      <c r="D67" s="4">
        <v>1228.2</v>
      </c>
      <c r="E67" s="4">
        <v>4710.1000000000004</v>
      </c>
      <c r="F67" s="4">
        <v>4373</v>
      </c>
      <c r="G67" s="4">
        <v>2457.8000000000002</v>
      </c>
      <c r="H67" s="4">
        <v>1915.2</v>
      </c>
      <c r="I67" s="4">
        <v>7.1569605740854803</v>
      </c>
      <c r="J67" s="4">
        <v>131.94547143666</v>
      </c>
      <c r="K67" s="4">
        <v>97.586722032374695</v>
      </c>
      <c r="L67" s="4">
        <v>123.03449413384899</v>
      </c>
      <c r="M67" s="4">
        <v>75.033978412022705</v>
      </c>
      <c r="N67" s="4">
        <v>115.911444260438</v>
      </c>
      <c r="O67" s="4">
        <v>105.19170454937201</v>
      </c>
      <c r="P67" s="4">
        <v>155.81774745058701</v>
      </c>
      <c r="Q67" s="4">
        <v>115.19124735392199</v>
      </c>
      <c r="R67" s="4">
        <v>89.211852885590304</v>
      </c>
      <c r="S67" s="4">
        <v>124.43018838072101</v>
      </c>
      <c r="T67" s="4">
        <v>124.610158875596</v>
      </c>
      <c r="U67" s="4">
        <v>207.44407627357501</v>
      </c>
      <c r="V67" s="4">
        <v>108.944142601434</v>
      </c>
      <c r="W67" s="4">
        <v>102.1836</v>
      </c>
      <c r="X67" s="4">
        <v>2.81603</v>
      </c>
      <c r="Y67" s="4">
        <v>10.967633832557601</v>
      </c>
    </row>
    <row r="68" spans="1:25" x14ac:dyDescent="0.3">
      <c r="A68" s="3" t="s">
        <v>648</v>
      </c>
      <c r="B68" s="4">
        <v>2675</v>
      </c>
      <c r="C68" s="4">
        <v>467.2</v>
      </c>
      <c r="D68" s="4">
        <v>1190.7</v>
      </c>
      <c r="E68" s="4">
        <v>4693.5</v>
      </c>
      <c r="F68" s="4">
        <v>4332.8999999999996</v>
      </c>
      <c r="G68" s="4">
        <v>2431.3000000000002</v>
      </c>
      <c r="H68" s="4">
        <v>1901.6</v>
      </c>
      <c r="I68" s="4">
        <v>7.6829658037711699</v>
      </c>
      <c r="J68" s="4">
        <v>116.302710412802</v>
      </c>
      <c r="K68" s="4">
        <v>88.925786344456498</v>
      </c>
      <c r="L68" s="4">
        <v>119.359479895616</v>
      </c>
      <c r="M68" s="4">
        <v>119.097411549318</v>
      </c>
      <c r="N68" s="4">
        <v>111.519829164124</v>
      </c>
      <c r="O68" s="4">
        <v>100.260240308335</v>
      </c>
      <c r="P68" s="4">
        <v>154.18594158736201</v>
      </c>
      <c r="Q68" s="4">
        <v>117.656957530695</v>
      </c>
      <c r="R68" s="4">
        <v>102.627807160909</v>
      </c>
      <c r="S68" s="4">
        <v>123.00171004671699</v>
      </c>
      <c r="T68" s="4">
        <v>126.170486134512</v>
      </c>
      <c r="U68" s="4">
        <v>110.874418650829</v>
      </c>
      <c r="V68" s="4">
        <v>112.288660906546</v>
      </c>
      <c r="W68" s="4">
        <v>102.582562</v>
      </c>
      <c r="X68" s="4">
        <v>2.7874523809523799</v>
      </c>
      <c r="Y68" s="4">
        <v>-4.7877386081303799</v>
      </c>
    </row>
    <row r="69" spans="1:25" x14ac:dyDescent="0.3">
      <c r="A69" s="3" t="s">
        <v>649</v>
      </c>
      <c r="B69" s="4">
        <v>2715.1</v>
      </c>
      <c r="C69" s="4">
        <v>445.5</v>
      </c>
      <c r="D69" s="4">
        <v>1194.7</v>
      </c>
      <c r="E69" s="4">
        <v>4792.3999999999996</v>
      </c>
      <c r="F69" s="4">
        <v>4355.3</v>
      </c>
      <c r="G69" s="4">
        <v>2431.6999999999998</v>
      </c>
      <c r="H69" s="4">
        <v>1923.6</v>
      </c>
      <c r="I69" s="4">
        <v>9.1206910942325408</v>
      </c>
      <c r="J69" s="4">
        <v>114.73776654477901</v>
      </c>
      <c r="K69" s="4">
        <v>88.793588542134103</v>
      </c>
      <c r="L69" s="4">
        <v>121.521423038386</v>
      </c>
      <c r="M69" s="4">
        <v>81.535498504442302</v>
      </c>
      <c r="N69" s="4">
        <v>100.458136494378</v>
      </c>
      <c r="O69" s="4">
        <v>90.017799742760303</v>
      </c>
      <c r="P69" s="4">
        <v>139.614912698219</v>
      </c>
      <c r="Q69" s="4">
        <v>110.65212129734201</v>
      </c>
      <c r="R69" s="4">
        <v>91.605196603096005</v>
      </c>
      <c r="S69" s="4">
        <v>117.425697725635</v>
      </c>
      <c r="T69" s="4">
        <v>117.510648049164</v>
      </c>
      <c r="U69" s="4">
        <v>121.39113063730299</v>
      </c>
      <c r="V69" s="4">
        <v>113.062351799544</v>
      </c>
      <c r="W69" s="4">
        <v>102.974757</v>
      </c>
      <c r="X69" s="4">
        <v>2.7718250000000002</v>
      </c>
      <c r="Y69" s="4">
        <v>-6.16686741519617E-2</v>
      </c>
    </row>
    <row r="70" spans="1:25" x14ac:dyDescent="0.3">
      <c r="A70" s="3" t="s">
        <v>650</v>
      </c>
      <c r="B70" s="4">
        <v>2743.6</v>
      </c>
      <c r="C70" s="4">
        <v>450.7</v>
      </c>
      <c r="D70" s="4">
        <v>1192.4000000000001</v>
      </c>
      <c r="E70" s="4">
        <v>4841.1000000000004</v>
      </c>
      <c r="F70" s="4">
        <v>4386.7</v>
      </c>
      <c r="G70" s="4">
        <v>2451</v>
      </c>
      <c r="H70" s="4">
        <v>1935.7</v>
      </c>
      <c r="I70" s="4">
        <v>9.3862965028609207</v>
      </c>
      <c r="J70" s="4">
        <v>124.776562514662</v>
      </c>
      <c r="K70" s="4">
        <v>109.970008402193</v>
      </c>
      <c r="L70" s="4">
        <v>121.453423613928</v>
      </c>
      <c r="M70" s="4">
        <v>78.624332223209706</v>
      </c>
      <c r="N70" s="4">
        <v>111.02578227142</v>
      </c>
      <c r="O70" s="4">
        <v>100.485364313709</v>
      </c>
      <c r="P70" s="4">
        <v>148.80939429007299</v>
      </c>
      <c r="Q70" s="4">
        <v>124.561822371706</v>
      </c>
      <c r="R70" s="4">
        <v>105.299846419974</v>
      </c>
      <c r="S70" s="4">
        <v>131.411876559636</v>
      </c>
      <c r="T70" s="4">
        <v>130.577244428201</v>
      </c>
      <c r="U70" s="4">
        <v>136.073534591314</v>
      </c>
      <c r="V70" s="4">
        <v>114.68349326733301</v>
      </c>
      <c r="W70" s="4">
        <v>103.698122</v>
      </c>
      <c r="X70" s="4">
        <v>2.7803130434782601</v>
      </c>
      <c r="Y70" s="4">
        <v>-1.4894289960162701</v>
      </c>
    </row>
    <row r="71" spans="1:25" x14ac:dyDescent="0.3">
      <c r="A71" s="3" t="s">
        <v>651</v>
      </c>
      <c r="B71" s="4">
        <v>2771.6</v>
      </c>
      <c r="C71" s="4">
        <v>470.7</v>
      </c>
      <c r="D71" s="4">
        <v>1186</v>
      </c>
      <c r="E71" s="4">
        <v>4856</v>
      </c>
      <c r="F71" s="4">
        <v>4428.3</v>
      </c>
      <c r="G71" s="4">
        <v>2482.5</v>
      </c>
      <c r="H71" s="4">
        <v>1945.8</v>
      </c>
      <c r="I71" s="4">
        <v>8.8076606260296497</v>
      </c>
      <c r="J71" s="4">
        <v>126.25743697860101</v>
      </c>
      <c r="K71" s="4">
        <v>174.27072399880299</v>
      </c>
      <c r="L71" s="4">
        <v>122.231153019109</v>
      </c>
      <c r="M71" s="4">
        <v>255.16385145353101</v>
      </c>
      <c r="N71" s="4">
        <v>100.49207705046599</v>
      </c>
      <c r="O71" s="4">
        <v>88.482473380681796</v>
      </c>
      <c r="P71" s="4">
        <v>146.75504644100801</v>
      </c>
      <c r="Q71" s="4">
        <v>123.009501054195</v>
      </c>
      <c r="R71" s="4">
        <v>136.34595046752199</v>
      </c>
      <c r="S71" s="4">
        <v>118.266716545233</v>
      </c>
      <c r="T71" s="4">
        <v>124.85866028313499</v>
      </c>
      <c r="U71" s="4">
        <v>131.594770387034</v>
      </c>
      <c r="V71" s="4">
        <v>112.938271791967</v>
      </c>
      <c r="W71" s="4">
        <v>104.40421600000001</v>
      </c>
      <c r="X71" s="4">
        <v>2.8167526315789502</v>
      </c>
      <c r="Y71" s="4">
        <v>2.7515235021893099</v>
      </c>
    </row>
    <row r="72" spans="1:25" x14ac:dyDescent="0.3">
      <c r="A72" s="3" t="s">
        <v>652</v>
      </c>
      <c r="B72" s="4">
        <v>2716.1</v>
      </c>
      <c r="C72" s="4">
        <v>494.9</v>
      </c>
      <c r="D72" s="4">
        <v>1198.4000000000001</v>
      </c>
      <c r="E72" s="4">
        <v>4759.3</v>
      </c>
      <c r="F72" s="4">
        <v>4409.5</v>
      </c>
      <c r="G72" s="4">
        <v>2491.6999999999998</v>
      </c>
      <c r="H72" s="4">
        <v>1917.8</v>
      </c>
      <c r="I72" s="4">
        <v>7.3519215010610797</v>
      </c>
      <c r="J72" s="4">
        <v>129.648233774277</v>
      </c>
      <c r="K72" s="4">
        <v>184.96056592294599</v>
      </c>
      <c r="L72" s="4">
        <v>128.04461963632701</v>
      </c>
      <c r="M72" s="4">
        <v>179.67098998689099</v>
      </c>
      <c r="N72" s="4">
        <v>111.35349952061399</v>
      </c>
      <c r="O72" s="4">
        <v>99.397341970824698</v>
      </c>
      <c r="P72" s="4">
        <v>154.710113420759</v>
      </c>
      <c r="Q72" s="4">
        <v>127.57022882764301</v>
      </c>
      <c r="R72" s="4">
        <v>131.742420567576</v>
      </c>
      <c r="S72" s="4">
        <v>126.08649010984</v>
      </c>
      <c r="T72" s="4">
        <v>129.07991445593399</v>
      </c>
      <c r="U72" s="4">
        <v>132.877653191294</v>
      </c>
      <c r="V72" s="4">
        <v>114.525396103494</v>
      </c>
      <c r="W72" s="4">
        <v>104.37946599999999</v>
      </c>
      <c r="X72" s="4">
        <v>2.77509047619048</v>
      </c>
      <c r="Y72" s="4">
        <v>-9.08729509716448E-2</v>
      </c>
    </row>
    <row r="73" spans="1:25" x14ac:dyDescent="0.3">
      <c r="A73" s="3" t="s">
        <v>653</v>
      </c>
      <c r="B73" s="4">
        <v>2666.9</v>
      </c>
      <c r="C73" s="4">
        <v>474.3</v>
      </c>
      <c r="D73" s="4">
        <v>1226.2</v>
      </c>
      <c r="E73" s="4">
        <v>4711.3999999999996</v>
      </c>
      <c r="F73" s="4">
        <v>4367.3999999999996</v>
      </c>
      <c r="G73" s="4">
        <v>2472.6</v>
      </c>
      <c r="H73" s="4">
        <v>1894.8</v>
      </c>
      <c r="I73" s="4">
        <v>7.3014390626989902</v>
      </c>
      <c r="J73" s="4">
        <v>126.61736228193899</v>
      </c>
      <c r="K73" s="4">
        <v>163.021468856458</v>
      </c>
      <c r="L73" s="4">
        <v>127.24437251895</v>
      </c>
      <c r="M73" s="4">
        <v>125.350708396485</v>
      </c>
      <c r="N73" s="4">
        <v>111.298431099102</v>
      </c>
      <c r="O73" s="4">
        <v>100.24255161362299</v>
      </c>
      <c r="P73" s="4">
        <v>149.153129290789</v>
      </c>
      <c r="Q73" s="4">
        <v>123.457678434291</v>
      </c>
      <c r="R73" s="4">
        <v>119.69985335195599</v>
      </c>
      <c r="S73" s="4">
        <v>124.794057708528</v>
      </c>
      <c r="T73" s="4">
        <v>125.830867544208</v>
      </c>
      <c r="U73" s="4">
        <v>132.567743300377</v>
      </c>
      <c r="V73" s="4">
        <v>111.523943172743</v>
      </c>
      <c r="W73" s="4">
        <v>104.482951</v>
      </c>
      <c r="X73" s="4">
        <v>2.7646904761904798</v>
      </c>
      <c r="Y73" s="4">
        <v>0.81022832122468103</v>
      </c>
    </row>
    <row r="74" spans="1:25" x14ac:dyDescent="0.3">
      <c r="A74" s="3" t="s">
        <v>654</v>
      </c>
      <c r="B74" s="4">
        <v>2717.4</v>
      </c>
      <c r="C74" s="4">
        <v>463.7</v>
      </c>
      <c r="D74" s="4">
        <v>1223.0999999999999</v>
      </c>
      <c r="E74" s="4">
        <v>4733.8999999999996</v>
      </c>
      <c r="F74" s="4">
        <v>4404.1000000000004</v>
      </c>
      <c r="G74" s="4">
        <v>2522.4</v>
      </c>
      <c r="H74" s="4">
        <v>1881.7</v>
      </c>
      <c r="I74" s="4">
        <v>6.9667715836836397</v>
      </c>
      <c r="J74" s="4">
        <v>129.09771562092399</v>
      </c>
      <c r="K74" s="4">
        <v>142.25420886197901</v>
      </c>
      <c r="L74" s="4">
        <v>125.185317591086</v>
      </c>
      <c r="M74" s="4">
        <v>95.544629634251507</v>
      </c>
      <c r="N74" s="4">
        <v>110.86136145733499</v>
      </c>
      <c r="O74" s="4">
        <v>98.466085457049502</v>
      </c>
      <c r="P74" s="4">
        <v>155.26710309201701</v>
      </c>
      <c r="Q74" s="4">
        <v>121.925739791113</v>
      </c>
      <c r="R74" s="4">
        <v>112.777938772463</v>
      </c>
      <c r="S74" s="4">
        <v>125.178933172477</v>
      </c>
      <c r="T74" s="4">
        <v>125.93484576473099</v>
      </c>
      <c r="U74" s="4">
        <v>146.41506732763</v>
      </c>
      <c r="V74" s="4">
        <v>112.68550191838899</v>
      </c>
      <c r="W74" s="4">
        <v>105.31145100000001</v>
      </c>
      <c r="X74" s="4">
        <v>2.7420894736842101</v>
      </c>
      <c r="Y74" s="4">
        <v>7.7426183376515203</v>
      </c>
    </row>
    <row r="75" spans="1:25" x14ac:dyDescent="0.3">
      <c r="A75" s="3" t="s">
        <v>655</v>
      </c>
      <c r="B75" s="4">
        <v>2700.1</v>
      </c>
      <c r="C75" s="4">
        <v>472.8</v>
      </c>
      <c r="D75" s="4">
        <v>1232</v>
      </c>
      <c r="E75" s="4">
        <v>4737.3</v>
      </c>
      <c r="F75" s="4">
        <v>4404.8</v>
      </c>
      <c r="G75" s="4">
        <v>2532.1</v>
      </c>
      <c r="H75" s="4">
        <v>1872.7</v>
      </c>
      <c r="I75" s="4">
        <v>7.0166550566778501</v>
      </c>
      <c r="J75" s="4">
        <v>127.177016700397</v>
      </c>
      <c r="K75" s="4">
        <v>94.212673545056603</v>
      </c>
      <c r="L75" s="4">
        <v>121.28881176606799</v>
      </c>
      <c r="M75" s="4">
        <v>55.261905557569598</v>
      </c>
      <c r="N75" s="4">
        <v>114.201289985183</v>
      </c>
      <c r="O75" s="4">
        <v>102.362344088722</v>
      </c>
      <c r="P75" s="4">
        <v>154.395221017865</v>
      </c>
      <c r="Q75" s="4">
        <v>121.731654649032</v>
      </c>
      <c r="R75" s="4">
        <v>96.533305470933897</v>
      </c>
      <c r="S75" s="4">
        <v>130.69283587721401</v>
      </c>
      <c r="T75" s="4">
        <v>127.39708036277599</v>
      </c>
      <c r="U75" s="4">
        <v>151.093794748189</v>
      </c>
      <c r="V75" s="4">
        <v>116.218145878024</v>
      </c>
      <c r="W75" s="4">
        <v>105.59138799999999</v>
      </c>
      <c r="X75" s="4">
        <v>2.7401476190476202</v>
      </c>
      <c r="Y75" s="4">
        <v>-1.7875549666139501</v>
      </c>
    </row>
    <row r="76" spans="1:25" x14ac:dyDescent="0.3">
      <c r="A76" s="3" t="s">
        <v>656</v>
      </c>
      <c r="B76" s="4">
        <v>2739.5</v>
      </c>
      <c r="C76" s="4">
        <v>476.8</v>
      </c>
      <c r="D76" s="4">
        <v>1215.8</v>
      </c>
      <c r="E76" s="4">
        <v>4781.3</v>
      </c>
      <c r="F76" s="4">
        <v>4432.1000000000004</v>
      </c>
      <c r="G76" s="4">
        <v>2580.3000000000002</v>
      </c>
      <c r="H76" s="4">
        <v>1851.8</v>
      </c>
      <c r="I76" s="4">
        <v>7.3055445171815201</v>
      </c>
      <c r="J76" s="4">
        <v>128.17015949676701</v>
      </c>
      <c r="K76" s="4">
        <v>81.478231645494901</v>
      </c>
      <c r="L76" s="4">
        <v>120.483053259801</v>
      </c>
      <c r="M76" s="4">
        <v>52.757845703111002</v>
      </c>
      <c r="N76" s="4">
        <v>113.19682733374</v>
      </c>
      <c r="O76" s="4">
        <v>102.049053528115</v>
      </c>
      <c r="P76" s="4">
        <v>149.81295719035799</v>
      </c>
      <c r="Q76" s="4">
        <v>119.035342621292</v>
      </c>
      <c r="R76" s="4">
        <v>90.841597960806695</v>
      </c>
      <c r="S76" s="4">
        <v>129.06176354347201</v>
      </c>
      <c r="T76" s="4">
        <v>124.847325131213</v>
      </c>
      <c r="U76" s="4">
        <v>159.37281611982499</v>
      </c>
      <c r="V76" s="4">
        <v>113.95342031531</v>
      </c>
      <c r="W76" s="4">
        <v>105.944258</v>
      </c>
      <c r="X76" s="4">
        <v>2.74524090909091</v>
      </c>
      <c r="Y76" s="4">
        <v>-0.16366267413878699</v>
      </c>
    </row>
    <row r="77" spans="1:25" x14ac:dyDescent="0.3">
      <c r="A77" s="3" t="s">
        <v>657</v>
      </c>
      <c r="B77" s="4">
        <v>2709.1</v>
      </c>
      <c r="C77" s="4">
        <v>469.4</v>
      </c>
      <c r="D77" s="4">
        <v>1242.4000000000001</v>
      </c>
      <c r="E77" s="4">
        <v>4770.1000000000004</v>
      </c>
      <c r="F77" s="4">
        <v>4421</v>
      </c>
      <c r="G77" s="4">
        <v>2618.1</v>
      </c>
      <c r="H77" s="4">
        <v>1802.9</v>
      </c>
      <c r="I77" s="4">
        <v>7.3185048531477301</v>
      </c>
      <c r="J77" s="4">
        <v>129.23834804015101</v>
      </c>
      <c r="K77" s="4">
        <v>88.628831501616602</v>
      </c>
      <c r="L77" s="4">
        <v>121.43037239409701</v>
      </c>
      <c r="M77" s="4">
        <v>52.1598764129118</v>
      </c>
      <c r="N77" s="4">
        <v>114.699703652053</v>
      </c>
      <c r="O77" s="4">
        <v>102.66264361709</v>
      </c>
      <c r="P77" s="4">
        <v>154.980166697817</v>
      </c>
      <c r="Q77" s="4">
        <v>120.22465436706899</v>
      </c>
      <c r="R77" s="4">
        <v>92.118150639689802</v>
      </c>
      <c r="S77" s="4">
        <v>130.22005016904899</v>
      </c>
      <c r="T77" s="4">
        <v>130.25266671256401</v>
      </c>
      <c r="U77" s="4">
        <v>180.262684300871</v>
      </c>
      <c r="V77" s="4">
        <v>108.013240614341</v>
      </c>
      <c r="W77" s="4">
        <v>106.277824</v>
      </c>
      <c r="X77" s="4">
        <v>2.7320799999999998</v>
      </c>
      <c r="Y77" s="4">
        <v>2.2536762694332801</v>
      </c>
    </row>
    <row r="78" spans="1:25" x14ac:dyDescent="0.3">
      <c r="A78" s="3" t="s">
        <v>658</v>
      </c>
      <c r="B78" s="4">
        <v>2680.2</v>
      </c>
      <c r="C78" s="4">
        <v>481.6</v>
      </c>
      <c r="D78" s="4">
        <v>1265.9000000000001</v>
      </c>
      <c r="E78" s="4">
        <v>4763.3</v>
      </c>
      <c r="F78" s="4">
        <v>4427.7</v>
      </c>
      <c r="G78" s="4">
        <v>2655.6</v>
      </c>
      <c r="H78" s="4">
        <v>1772.1</v>
      </c>
      <c r="I78" s="4">
        <v>7.0455356580521897</v>
      </c>
      <c r="J78" s="4">
        <v>129.518550609491</v>
      </c>
      <c r="K78" s="4">
        <v>97.258791653023493</v>
      </c>
      <c r="L78" s="4">
        <v>127.64211785797499</v>
      </c>
      <c r="M78" s="4">
        <v>110.01416666067399</v>
      </c>
      <c r="N78" s="4">
        <v>113.769554606467</v>
      </c>
      <c r="O78" s="4">
        <v>102.85260479320399</v>
      </c>
      <c r="P78" s="4">
        <v>147.63225807155601</v>
      </c>
      <c r="Q78" s="4">
        <v>123.679865453118</v>
      </c>
      <c r="R78" s="4">
        <v>101.439354163584</v>
      </c>
      <c r="S78" s="4">
        <v>131.58916343388199</v>
      </c>
      <c r="T78" s="4">
        <v>129.114355879084</v>
      </c>
      <c r="U78" s="4">
        <v>174.670259565468</v>
      </c>
      <c r="V78" s="4">
        <v>106.58564121720499</v>
      </c>
      <c r="W78" s="4">
        <v>106.73633100000001</v>
      </c>
      <c r="X78" s="4">
        <v>2.70590476190476</v>
      </c>
      <c r="Y78" s="4">
        <v>-1.2836237355592099</v>
      </c>
    </row>
    <row r="79" spans="1:25" x14ac:dyDescent="0.3">
      <c r="A79" s="3" t="s">
        <v>659</v>
      </c>
      <c r="B79" s="4">
        <v>2690.1</v>
      </c>
      <c r="C79" s="4">
        <v>485</v>
      </c>
      <c r="D79" s="4">
        <v>1300.2</v>
      </c>
      <c r="E79" s="4">
        <v>4811.5</v>
      </c>
      <c r="F79" s="4">
        <v>4475.3</v>
      </c>
      <c r="G79" s="4">
        <v>2659.4</v>
      </c>
      <c r="H79" s="4">
        <v>1815.9</v>
      </c>
      <c r="I79" s="4">
        <v>6.9853476046970799</v>
      </c>
      <c r="J79" s="4">
        <v>143.381110002409</v>
      </c>
      <c r="K79" s="4">
        <v>91.301780383637507</v>
      </c>
      <c r="L79" s="4">
        <v>126.477332443252</v>
      </c>
      <c r="M79" s="4">
        <v>262.83795988242002</v>
      </c>
      <c r="N79" s="4">
        <v>121.81367558615899</v>
      </c>
      <c r="O79" s="4">
        <v>111.127977824434</v>
      </c>
      <c r="P79" s="4">
        <v>152.39156050248599</v>
      </c>
      <c r="Q79" s="4">
        <v>128.34583494421199</v>
      </c>
      <c r="R79" s="4">
        <v>139.38459005051601</v>
      </c>
      <c r="S79" s="4">
        <v>124.42016964201601</v>
      </c>
      <c r="T79" s="4">
        <v>133.00383887444801</v>
      </c>
      <c r="U79" s="4">
        <v>250.20075686702501</v>
      </c>
      <c r="V79" s="4">
        <v>107.609958305135</v>
      </c>
      <c r="W79" s="4">
        <v>107.02548899999999</v>
      </c>
      <c r="X79" s="4">
        <v>2.69683684210526</v>
      </c>
      <c r="Y79" s="4">
        <v>9.2049242505893307</v>
      </c>
    </row>
    <row r="80" spans="1:25" x14ac:dyDescent="0.3">
      <c r="A80" s="3" t="s">
        <v>660</v>
      </c>
      <c r="B80" s="4">
        <v>2663.8</v>
      </c>
      <c r="C80" s="4">
        <v>487</v>
      </c>
      <c r="D80" s="4">
        <v>1291.8</v>
      </c>
      <c r="E80" s="4">
        <v>4816</v>
      </c>
      <c r="F80" s="4">
        <v>4442.6000000000004</v>
      </c>
      <c r="G80" s="4">
        <v>2633.3</v>
      </c>
      <c r="H80" s="4">
        <v>1809.3</v>
      </c>
      <c r="I80" s="4">
        <v>7.7553986710963496</v>
      </c>
      <c r="J80" s="4">
        <v>122.643071947149</v>
      </c>
      <c r="K80" s="4">
        <v>95.240303125888303</v>
      </c>
      <c r="L80" s="4">
        <v>124.359089810813</v>
      </c>
      <c r="M80" s="4">
        <v>83.892857913342695</v>
      </c>
      <c r="N80" s="4">
        <v>109.500679857056</v>
      </c>
      <c r="O80" s="4">
        <v>99.668804876385195</v>
      </c>
      <c r="P80" s="4">
        <v>137.77489575940101</v>
      </c>
      <c r="Q80" s="4">
        <v>123.96082441669699</v>
      </c>
      <c r="R80" s="4">
        <v>126.05324731460701</v>
      </c>
      <c r="S80" s="4">
        <v>123.216705003887</v>
      </c>
      <c r="T80" s="4">
        <v>134.090923540586</v>
      </c>
      <c r="U80" s="4">
        <v>128.04779505743701</v>
      </c>
      <c r="V80" s="4">
        <v>110.781004380987</v>
      </c>
      <c r="W80" s="4">
        <v>106.91704900000001</v>
      </c>
      <c r="X80" s="4">
        <v>2.6931409090909102</v>
      </c>
      <c r="Y80" s="4">
        <v>-2.23828900365731</v>
      </c>
    </row>
    <row r="81" spans="1:25" x14ac:dyDescent="0.3">
      <c r="A81" s="3" t="s">
        <v>661</v>
      </c>
      <c r="B81" s="4">
        <v>2702.8</v>
      </c>
      <c r="C81" s="4">
        <v>457.1</v>
      </c>
      <c r="D81" s="4">
        <v>1283.9000000000001</v>
      </c>
      <c r="E81" s="4">
        <v>4846.7</v>
      </c>
      <c r="F81" s="4">
        <v>4443.7</v>
      </c>
      <c r="G81" s="4">
        <v>2632.7</v>
      </c>
      <c r="H81" s="4">
        <v>1811</v>
      </c>
      <c r="I81" s="4">
        <v>8.3149359357913593</v>
      </c>
      <c r="J81" s="4">
        <v>122.832020719878</v>
      </c>
      <c r="K81" s="4">
        <v>92.640545062335505</v>
      </c>
      <c r="L81" s="4">
        <v>129.492025185372</v>
      </c>
      <c r="M81" s="4">
        <v>54.189824792798298</v>
      </c>
      <c r="N81" s="4">
        <v>104.579011592434</v>
      </c>
      <c r="O81" s="4">
        <v>93.114162295546706</v>
      </c>
      <c r="P81" s="4">
        <v>142.51915260161201</v>
      </c>
      <c r="Q81" s="4">
        <v>116.79263673047799</v>
      </c>
      <c r="R81" s="4">
        <v>108.854447648852</v>
      </c>
      <c r="S81" s="4">
        <v>119.615660988188</v>
      </c>
      <c r="T81" s="4">
        <v>126.727434464566</v>
      </c>
      <c r="U81" s="4">
        <v>139.630732387649</v>
      </c>
      <c r="V81" s="4">
        <v>112.62187917501799</v>
      </c>
      <c r="W81" s="4">
        <v>107.264432</v>
      </c>
      <c r="X81" s="4">
        <v>2.6838571428571401</v>
      </c>
      <c r="Y81" s="4">
        <v>-0.175606708034028</v>
      </c>
    </row>
    <row r="82" spans="1:25" x14ac:dyDescent="0.3">
      <c r="A82" s="3" t="s">
        <v>662</v>
      </c>
      <c r="B82" s="4">
        <v>2654.3</v>
      </c>
      <c r="C82" s="4">
        <v>454.3</v>
      </c>
      <c r="D82" s="4">
        <v>1307.5</v>
      </c>
      <c r="E82" s="4">
        <v>4834.8</v>
      </c>
      <c r="F82" s="4">
        <v>4416.1000000000004</v>
      </c>
      <c r="G82" s="4">
        <v>2685.9</v>
      </c>
      <c r="H82" s="4">
        <v>1730.2</v>
      </c>
      <c r="I82" s="4">
        <v>8.6601307189542496</v>
      </c>
      <c r="J82" s="4">
        <v>132.08464745865601</v>
      </c>
      <c r="K82" s="4">
        <v>113.15623336509501</v>
      </c>
      <c r="L82" s="4">
        <v>131.00960060978801</v>
      </c>
      <c r="M82" s="4">
        <v>49.525359760846101</v>
      </c>
      <c r="N82" s="4">
        <v>118.672082280136</v>
      </c>
      <c r="O82" s="4">
        <v>107.36470030808999</v>
      </c>
      <c r="P82" s="4">
        <v>152.12574844852799</v>
      </c>
      <c r="Q82" s="4">
        <v>119.004590062473</v>
      </c>
      <c r="R82" s="4">
        <v>113.36476034818401</v>
      </c>
      <c r="S82" s="4">
        <v>121.01025860086099</v>
      </c>
      <c r="T82" s="4">
        <v>138.46280444374301</v>
      </c>
      <c r="U82" s="4">
        <v>164.75093676834399</v>
      </c>
      <c r="V82" s="4">
        <v>109.67992029739899</v>
      </c>
      <c r="W82" s="4">
        <v>108.086095</v>
      </c>
      <c r="X82" s="4">
        <v>2.67244090909091</v>
      </c>
      <c r="Y82" s="4">
        <v>0.36212935142389102</v>
      </c>
    </row>
    <row r="83" spans="1:25" x14ac:dyDescent="0.3">
      <c r="A83" s="3" t="s">
        <v>663</v>
      </c>
      <c r="B83" s="4">
        <v>2664.1</v>
      </c>
      <c r="C83" s="4">
        <v>446.8</v>
      </c>
      <c r="D83" s="4">
        <v>1320.2</v>
      </c>
      <c r="E83" s="4">
        <v>4819.3</v>
      </c>
      <c r="F83" s="4">
        <v>4431.1000000000004</v>
      </c>
      <c r="G83" s="4">
        <v>2620.9</v>
      </c>
      <c r="H83" s="4">
        <v>1810.2</v>
      </c>
      <c r="I83" s="4">
        <v>8.0551117382192405</v>
      </c>
      <c r="J83" s="4">
        <v>130.294082135048</v>
      </c>
      <c r="K83" s="4">
        <v>171.77489436636199</v>
      </c>
      <c r="L83" s="4">
        <v>129.20237056435101</v>
      </c>
      <c r="M83" s="4">
        <v>66.512662219686007</v>
      </c>
      <c r="N83" s="4">
        <v>106.72189488364</v>
      </c>
      <c r="O83" s="4">
        <v>96.002399392451196</v>
      </c>
      <c r="P83" s="4">
        <v>139.71252024101901</v>
      </c>
      <c r="Q83" s="4">
        <v>115.04702359044001</v>
      </c>
      <c r="R83" s="4">
        <v>115.154548796048</v>
      </c>
      <c r="S83" s="4">
        <v>115.0087848611</v>
      </c>
      <c r="T83" s="4">
        <v>131.806236477064</v>
      </c>
      <c r="U83" s="4">
        <v>151.595578133506</v>
      </c>
      <c r="V83" s="4">
        <v>108.563959210332</v>
      </c>
      <c r="W83" s="4">
        <v>108.660616</v>
      </c>
      <c r="X83" s="4">
        <v>2.6570722222222201</v>
      </c>
      <c r="Y83" s="4">
        <v>1.19818897081165</v>
      </c>
    </row>
    <row r="84" spans="1:25" x14ac:dyDescent="0.3">
      <c r="A84" s="3" t="s">
        <v>664</v>
      </c>
      <c r="B84" s="4">
        <v>2673.9</v>
      </c>
      <c r="C84" s="4">
        <v>477.7</v>
      </c>
      <c r="D84" s="4">
        <v>1310.5</v>
      </c>
      <c r="E84" s="4">
        <v>4809.3</v>
      </c>
      <c r="F84" s="4">
        <v>4462.1000000000004</v>
      </c>
      <c r="G84" s="4">
        <v>2591.5</v>
      </c>
      <c r="H84" s="4">
        <v>1870.6</v>
      </c>
      <c r="I84" s="4">
        <v>7.2193458507475103</v>
      </c>
      <c r="J84" s="4">
        <v>138.61618365119</v>
      </c>
      <c r="K84" s="4">
        <v>220.378040420974</v>
      </c>
      <c r="L84" s="4">
        <v>135.52248915527599</v>
      </c>
      <c r="M84" s="4">
        <v>180.10804563957501</v>
      </c>
      <c r="N84" s="4">
        <v>115.153717423516</v>
      </c>
      <c r="O84" s="4">
        <v>103.592128156451</v>
      </c>
      <c r="P84" s="4">
        <v>150.391136214645</v>
      </c>
      <c r="Q84" s="4">
        <v>137.897979782074</v>
      </c>
      <c r="R84" s="4">
        <v>169.57304923235401</v>
      </c>
      <c r="S84" s="4">
        <v>126.633510203016</v>
      </c>
      <c r="T84" s="4">
        <v>136.47261334652401</v>
      </c>
      <c r="U84" s="4">
        <v>160.08059324136801</v>
      </c>
      <c r="V84" s="4">
        <v>109.80573577581301</v>
      </c>
      <c r="W84" s="4">
        <v>108.703277</v>
      </c>
      <c r="X84" s="4">
        <v>2.67031818181818</v>
      </c>
      <c r="Y84" s="4">
        <v>-1.57990978263179</v>
      </c>
    </row>
    <row r="85" spans="1:25" x14ac:dyDescent="0.3">
      <c r="A85" s="3" t="s">
        <v>665</v>
      </c>
      <c r="B85" s="4">
        <v>2672.1</v>
      </c>
      <c r="C85" s="4">
        <v>474.9</v>
      </c>
      <c r="D85" s="4">
        <v>1316.7</v>
      </c>
      <c r="E85" s="4">
        <v>4763.1000000000004</v>
      </c>
      <c r="F85" s="4">
        <v>4463.7</v>
      </c>
      <c r="G85" s="4">
        <v>2566.8000000000002</v>
      </c>
      <c r="H85" s="4">
        <v>1896.9</v>
      </c>
      <c r="I85" s="4">
        <v>6.2858222586130896</v>
      </c>
      <c r="J85" s="4">
        <v>136.159665679261</v>
      </c>
      <c r="K85" s="4">
        <v>196.00100211565601</v>
      </c>
      <c r="L85" s="4">
        <v>131.111796937067</v>
      </c>
      <c r="M85" s="4">
        <v>160.82175938165901</v>
      </c>
      <c r="N85" s="4">
        <v>116.26347947354699</v>
      </c>
      <c r="O85" s="4">
        <v>105.000497222438</v>
      </c>
      <c r="P85" s="4">
        <v>149.219134601018</v>
      </c>
      <c r="Q85" s="4">
        <v>131.270184732389</v>
      </c>
      <c r="R85" s="4">
        <v>162.76864840344501</v>
      </c>
      <c r="S85" s="4">
        <v>120.068520711838</v>
      </c>
      <c r="T85" s="4">
        <v>131.87751714396299</v>
      </c>
      <c r="U85" s="4">
        <v>161.86915720603301</v>
      </c>
      <c r="V85" s="4">
        <v>104.515305336772</v>
      </c>
      <c r="W85" s="4">
        <v>108.663388</v>
      </c>
      <c r="X85" s="4">
        <v>2.671745</v>
      </c>
      <c r="Y85" s="4">
        <v>1.8253675618635301</v>
      </c>
    </row>
    <row r="86" spans="1:25" x14ac:dyDescent="0.3">
      <c r="A86" s="3" t="s">
        <v>666</v>
      </c>
      <c r="B86" s="4">
        <v>2680.9</v>
      </c>
      <c r="C86" s="4">
        <v>484.3</v>
      </c>
      <c r="D86" s="4">
        <v>1347.6</v>
      </c>
      <c r="E86" s="4">
        <v>4811.5</v>
      </c>
      <c r="F86" s="4">
        <v>4512.8</v>
      </c>
      <c r="G86" s="4">
        <v>2628.2</v>
      </c>
      <c r="H86" s="4">
        <v>1884.6</v>
      </c>
      <c r="I86" s="4">
        <v>6.2080432297620298</v>
      </c>
      <c r="J86" s="4">
        <v>138.46069823236701</v>
      </c>
      <c r="K86" s="4">
        <v>143.444075861816</v>
      </c>
      <c r="L86" s="4">
        <v>134.996274197753</v>
      </c>
      <c r="M86" s="4">
        <v>108.679141844695</v>
      </c>
      <c r="N86" s="4">
        <v>117.548801534036</v>
      </c>
      <c r="O86" s="4">
        <v>105.142392619304</v>
      </c>
      <c r="P86" s="4">
        <v>156.25651749003401</v>
      </c>
      <c r="Q86" s="4">
        <v>130.65936404467701</v>
      </c>
      <c r="R86" s="4">
        <v>145.05353656818701</v>
      </c>
      <c r="S86" s="4">
        <v>125.54042598642501</v>
      </c>
      <c r="T86" s="4">
        <v>134.55980645954699</v>
      </c>
      <c r="U86" s="4">
        <v>172.088167427336</v>
      </c>
      <c r="V86" s="4">
        <v>106.072789408982</v>
      </c>
      <c r="W86" s="4">
        <v>108.76157499999999</v>
      </c>
      <c r="X86" s="4">
        <v>2.6366619047619002</v>
      </c>
      <c r="Y86" s="4">
        <v>4.4747908526993303</v>
      </c>
    </row>
    <row r="87" spans="1:25" x14ac:dyDescent="0.3">
      <c r="A87" s="3" t="s">
        <v>667</v>
      </c>
      <c r="B87" s="4">
        <v>2646</v>
      </c>
      <c r="C87" s="4">
        <v>474.9</v>
      </c>
      <c r="D87" s="4">
        <v>1354.7</v>
      </c>
      <c r="E87" s="4">
        <v>4794.8999999999996</v>
      </c>
      <c r="F87" s="4">
        <v>4475.5</v>
      </c>
      <c r="G87" s="4">
        <v>2629.8</v>
      </c>
      <c r="H87" s="4">
        <v>1845.7</v>
      </c>
      <c r="I87" s="4">
        <v>6.6612442386702497</v>
      </c>
      <c r="J87" s="4">
        <v>136.15827309324899</v>
      </c>
      <c r="K87" s="4">
        <v>98.887750175655896</v>
      </c>
      <c r="L87" s="4">
        <v>131.314695472708</v>
      </c>
      <c r="M87" s="4">
        <v>40.5558204078594</v>
      </c>
      <c r="N87" s="4">
        <v>117.241558441558</v>
      </c>
      <c r="O87" s="4">
        <v>104.177729608459</v>
      </c>
      <c r="P87" s="4">
        <v>159.55778122308001</v>
      </c>
      <c r="Q87" s="4">
        <v>124.29647471668</v>
      </c>
      <c r="R87" s="4">
        <v>102.90320283817</v>
      </c>
      <c r="S87" s="4">
        <v>131.90447256654301</v>
      </c>
      <c r="T87" s="4">
        <v>136.26487488916899</v>
      </c>
      <c r="U87" s="4">
        <v>185.87187682344299</v>
      </c>
      <c r="V87" s="4">
        <v>105.27305935318</v>
      </c>
      <c r="W87" s="4">
        <v>109.31452</v>
      </c>
      <c r="X87" s="4">
        <v>2.6164285714285702</v>
      </c>
      <c r="Y87" s="4">
        <v>-0.35454148632624999</v>
      </c>
    </row>
    <row r="88" spans="1:25" x14ac:dyDescent="0.3">
      <c r="A88" s="3" t="s">
        <v>668</v>
      </c>
      <c r="B88" s="4">
        <v>2675.9</v>
      </c>
      <c r="C88" s="4">
        <v>490.7</v>
      </c>
      <c r="D88" s="4">
        <v>1341.8</v>
      </c>
      <c r="E88" s="4">
        <v>4827.1000000000004</v>
      </c>
      <c r="F88" s="4">
        <v>4508.2929999999997</v>
      </c>
      <c r="G88" s="4">
        <v>2611.5929999999998</v>
      </c>
      <c r="H88" s="4">
        <v>1896.7</v>
      </c>
      <c r="I88" s="4">
        <v>6.6023078038573901</v>
      </c>
      <c r="J88" s="4">
        <v>136.81582518228399</v>
      </c>
      <c r="K88" s="4">
        <v>87.218184799945405</v>
      </c>
      <c r="L88" s="4">
        <v>127.85091048831001</v>
      </c>
      <c r="M88" s="4">
        <v>48.278659780600798</v>
      </c>
      <c r="N88" s="4">
        <v>117.117746012377</v>
      </c>
      <c r="O88" s="4">
        <v>104.046479477522</v>
      </c>
      <c r="P88" s="4">
        <v>159.85341057724</v>
      </c>
      <c r="Q88" s="4">
        <v>121.064000649021</v>
      </c>
      <c r="R88" s="4">
        <v>104.756918679126</v>
      </c>
      <c r="S88" s="4">
        <v>126.86321851850199</v>
      </c>
      <c r="T88" s="4">
        <v>131.45506475114701</v>
      </c>
      <c r="U88" s="4">
        <v>189.242790387768</v>
      </c>
      <c r="V88" s="4">
        <v>109.418441972929</v>
      </c>
      <c r="W88" s="4">
        <v>109.907777</v>
      </c>
      <c r="X88" s="4">
        <v>2.60304</v>
      </c>
      <c r="Y88" s="4">
        <v>0.96558962713282204</v>
      </c>
    </row>
    <row r="89" spans="1:25" x14ac:dyDescent="0.3">
      <c r="A89" s="3" t="s">
        <v>669</v>
      </c>
      <c r="B89" s="4">
        <v>2669.2</v>
      </c>
      <c r="C89" s="4">
        <v>499.7</v>
      </c>
      <c r="D89" s="4">
        <v>1328.1</v>
      </c>
      <c r="E89" s="4">
        <v>4795.5</v>
      </c>
      <c r="F89" s="4">
        <v>4497</v>
      </c>
      <c r="G89" s="4">
        <v>2631</v>
      </c>
      <c r="H89" s="4">
        <v>1866</v>
      </c>
      <c r="I89" s="4">
        <v>6.2225002606610396</v>
      </c>
      <c r="J89" s="4">
        <v>138.82307463723001</v>
      </c>
      <c r="K89" s="4">
        <v>95.795319974035095</v>
      </c>
      <c r="L89" s="4">
        <v>127.770811775653</v>
      </c>
      <c r="M89" s="4">
        <v>51.373582329279898</v>
      </c>
      <c r="N89" s="4">
        <v>114.31145297655399</v>
      </c>
      <c r="O89" s="4">
        <v>99.520569167959195</v>
      </c>
      <c r="P89" s="4">
        <v>166.993789912095</v>
      </c>
      <c r="Q89" s="4">
        <v>126.717764187136</v>
      </c>
      <c r="R89" s="4">
        <v>103.126736943341</v>
      </c>
      <c r="S89" s="4">
        <v>135.10734038502301</v>
      </c>
      <c r="T89" s="4">
        <v>135.82585573585001</v>
      </c>
      <c r="U89" s="4">
        <v>209.188293853754</v>
      </c>
      <c r="V89" s="4">
        <v>108.53270680004501</v>
      </c>
      <c r="W89" s="4">
        <v>109.728272</v>
      </c>
      <c r="X89" s="4">
        <v>2.5883349999999998</v>
      </c>
      <c r="Y89" s="4">
        <v>1.9806189683904201</v>
      </c>
    </row>
    <row r="90" spans="1:25" x14ac:dyDescent="0.3">
      <c r="A90" s="3" t="s">
        <v>670</v>
      </c>
      <c r="B90" s="4">
        <v>2714.6</v>
      </c>
      <c r="C90" s="4">
        <v>494.2</v>
      </c>
      <c r="D90" s="4">
        <v>1345.9</v>
      </c>
      <c r="E90" s="4">
        <v>4840.8999999999996</v>
      </c>
      <c r="F90" s="4">
        <v>4554.6000000000004</v>
      </c>
      <c r="G90" s="4">
        <v>2713.8</v>
      </c>
      <c r="H90" s="4">
        <v>1840.8</v>
      </c>
      <c r="I90" s="4">
        <v>5.9141895102150404</v>
      </c>
      <c r="J90" s="4">
        <v>137.36964650461499</v>
      </c>
      <c r="K90" s="4">
        <v>102.367393884687</v>
      </c>
      <c r="L90" s="4">
        <v>128.85117747207499</v>
      </c>
      <c r="M90" s="4">
        <v>49.412161839187</v>
      </c>
      <c r="N90" s="4">
        <v>114.06087335483301</v>
      </c>
      <c r="O90" s="4">
        <v>102.436005298534</v>
      </c>
      <c r="P90" s="4">
        <v>149.89654087403099</v>
      </c>
      <c r="Q90" s="4">
        <v>126.993862164444</v>
      </c>
      <c r="R90" s="4">
        <v>107.10718755787001</v>
      </c>
      <c r="S90" s="4">
        <v>134.06607526522399</v>
      </c>
      <c r="T90" s="4">
        <v>136.49179591131599</v>
      </c>
      <c r="U90" s="4">
        <v>201.44370892665901</v>
      </c>
      <c r="V90" s="4">
        <v>109.45747603760699</v>
      </c>
      <c r="W90" s="4">
        <v>109.57743000000001</v>
      </c>
      <c r="X90" s="4">
        <v>2.5992199999999999</v>
      </c>
      <c r="Y90" s="4">
        <v>0.42439618374034099</v>
      </c>
    </row>
    <row r="91" spans="1:25" x14ac:dyDescent="0.3">
      <c r="A91" s="3" t="s">
        <v>671</v>
      </c>
      <c r="B91" s="4">
        <v>2721</v>
      </c>
      <c r="C91" s="4">
        <v>512.5</v>
      </c>
      <c r="D91" s="4">
        <v>1332.5</v>
      </c>
      <c r="E91" s="4">
        <v>4838.8</v>
      </c>
      <c r="F91" s="4">
        <v>4566</v>
      </c>
      <c r="G91" s="4">
        <v>2778.7</v>
      </c>
      <c r="H91" s="4">
        <v>1787.3</v>
      </c>
      <c r="I91" s="4">
        <v>5.6377614284533397</v>
      </c>
      <c r="J91" s="4">
        <v>148.29185624958899</v>
      </c>
      <c r="K91" s="4">
        <v>109.852798173352</v>
      </c>
      <c r="L91" s="4">
        <v>134.52408492524501</v>
      </c>
      <c r="M91" s="4">
        <v>101.57406870809299</v>
      </c>
      <c r="N91" s="4">
        <v>120.910982306284</v>
      </c>
      <c r="O91" s="4">
        <v>107.905622651973</v>
      </c>
      <c r="P91" s="4">
        <v>162.037846690056</v>
      </c>
      <c r="Q91" s="4">
        <v>125.293523978774</v>
      </c>
      <c r="R91" s="4">
        <v>126.45177771828401</v>
      </c>
      <c r="S91" s="4">
        <v>124.881619151414</v>
      </c>
      <c r="T91" s="4">
        <v>139.262586605374</v>
      </c>
      <c r="U91" s="4">
        <v>252.68224228214501</v>
      </c>
      <c r="V91" s="4">
        <v>110.524510586722</v>
      </c>
      <c r="W91" s="4">
        <v>109.860989</v>
      </c>
      <c r="X91" s="4">
        <v>2.5669555555555599</v>
      </c>
      <c r="Y91" s="4">
        <v>10.618258529159201</v>
      </c>
    </row>
    <row r="92" spans="1:25" x14ac:dyDescent="0.3">
      <c r="A92" s="3" t="s">
        <v>672</v>
      </c>
      <c r="B92" s="4">
        <v>2699.5</v>
      </c>
      <c r="C92" s="4">
        <v>485.4</v>
      </c>
      <c r="D92" s="4">
        <v>1340.1</v>
      </c>
      <c r="E92" s="4">
        <v>4820.3999999999996</v>
      </c>
      <c r="F92" s="4">
        <v>4525</v>
      </c>
      <c r="G92" s="4">
        <v>2725.8</v>
      </c>
      <c r="H92" s="4">
        <v>1799.2</v>
      </c>
      <c r="I92" s="4">
        <v>6.1301966641772498</v>
      </c>
      <c r="J92" s="4">
        <v>130.55987087612201</v>
      </c>
      <c r="K92" s="4">
        <v>102.37843856636501</v>
      </c>
      <c r="L92" s="4">
        <v>129.518304699634</v>
      </c>
      <c r="M92" s="4">
        <v>103.64237284567901</v>
      </c>
      <c r="N92" s="4">
        <v>107.001747420163</v>
      </c>
      <c r="O92" s="4">
        <v>92.293354073123297</v>
      </c>
      <c r="P92" s="4">
        <v>162.46266294723301</v>
      </c>
      <c r="Q92" s="4">
        <v>129.235361724027</v>
      </c>
      <c r="R92" s="4">
        <v>125.0106291643</v>
      </c>
      <c r="S92" s="4">
        <v>130.75771710951099</v>
      </c>
      <c r="T92" s="4">
        <v>142.073008888006</v>
      </c>
      <c r="U92" s="4">
        <v>151.513062970334</v>
      </c>
      <c r="V92" s="4">
        <v>111.47998102207001</v>
      </c>
      <c r="W92" s="4">
        <v>109.98778799999999</v>
      </c>
      <c r="X92" s="4">
        <v>2.5525636363636401</v>
      </c>
      <c r="Y92" s="4">
        <v>-4.0216907960062498</v>
      </c>
    </row>
    <row r="93" spans="1:25" x14ac:dyDescent="0.3">
      <c r="A93" s="3" t="s">
        <v>673</v>
      </c>
      <c r="B93" s="4">
        <v>2755.7</v>
      </c>
      <c r="C93" s="4">
        <v>467.5</v>
      </c>
      <c r="D93" s="4">
        <v>1310.2</v>
      </c>
      <c r="E93" s="4">
        <v>4843.5</v>
      </c>
      <c r="F93" s="4">
        <v>4533.3999999999996</v>
      </c>
      <c r="G93" s="4">
        <v>2725.9</v>
      </c>
      <c r="H93" s="4">
        <v>1807.5</v>
      </c>
      <c r="I93" s="4">
        <v>6.4023949623206402</v>
      </c>
      <c r="J93" s="4">
        <v>129.07928543946801</v>
      </c>
      <c r="K93" s="4">
        <v>100.17872242081501</v>
      </c>
      <c r="L93" s="4">
        <v>133.20694887887299</v>
      </c>
      <c r="M93" s="4">
        <v>58.867406127616597</v>
      </c>
      <c r="N93" s="4">
        <v>104.51750386805401</v>
      </c>
      <c r="O93" s="4">
        <v>91.014644530728205</v>
      </c>
      <c r="P93" s="4">
        <v>153.76072084188499</v>
      </c>
      <c r="Q93" s="4">
        <v>115.901472804089</v>
      </c>
      <c r="R93" s="4">
        <v>96.245286376116695</v>
      </c>
      <c r="S93" s="4">
        <v>122.910786962122</v>
      </c>
      <c r="T93" s="4">
        <v>131.509322418056</v>
      </c>
      <c r="U93" s="4">
        <v>155.36711592773699</v>
      </c>
      <c r="V93" s="4">
        <v>110.005034667614</v>
      </c>
      <c r="W93" s="4">
        <v>109.891941</v>
      </c>
      <c r="X93" s="4">
        <v>2.5789</v>
      </c>
      <c r="Y93" s="4">
        <v>-2.3973381059493801E-2</v>
      </c>
    </row>
    <row r="94" spans="1:25" x14ac:dyDescent="0.3">
      <c r="A94" s="3" t="s">
        <v>674</v>
      </c>
      <c r="B94" s="4">
        <v>2774.9</v>
      </c>
      <c r="C94" s="4">
        <v>448.7</v>
      </c>
      <c r="D94" s="4">
        <v>1328.5</v>
      </c>
      <c r="E94" s="4">
        <v>4862.8</v>
      </c>
      <c r="F94" s="4">
        <v>4552</v>
      </c>
      <c r="G94" s="4">
        <v>2742.5</v>
      </c>
      <c r="H94" s="4">
        <v>1809.5</v>
      </c>
      <c r="I94" s="4">
        <v>6.39137945216748</v>
      </c>
      <c r="J94" s="4">
        <v>136.71595687112301</v>
      </c>
      <c r="K94" s="4">
        <v>123.740111811592</v>
      </c>
      <c r="L94" s="4">
        <v>131.04332340692599</v>
      </c>
      <c r="M94" s="4">
        <v>52.540424324547097</v>
      </c>
      <c r="N94" s="4">
        <v>116.82157234598699</v>
      </c>
      <c r="O94" s="4">
        <v>102.876032821168</v>
      </c>
      <c r="P94" s="4">
        <v>165.55761084547501</v>
      </c>
      <c r="Q94" s="4">
        <v>119.163764292614</v>
      </c>
      <c r="R94" s="4">
        <v>112.090770194767</v>
      </c>
      <c r="S94" s="4">
        <v>121.68346538223101</v>
      </c>
      <c r="T94" s="4">
        <v>143.871899884778</v>
      </c>
      <c r="U94" s="4">
        <v>171.43415018482901</v>
      </c>
      <c r="V94" s="4">
        <v>106.634539952892</v>
      </c>
      <c r="W94" s="4">
        <v>110.887497</v>
      </c>
      <c r="X94" s="4">
        <v>2.5946578947368399</v>
      </c>
      <c r="Y94" s="4">
        <v>1.4879520774645101</v>
      </c>
    </row>
    <row r="95" spans="1:25" x14ac:dyDescent="0.3">
      <c r="A95" s="3" t="s">
        <v>675</v>
      </c>
      <c r="B95" s="4">
        <v>2810.3</v>
      </c>
      <c r="C95" s="4">
        <v>458.9</v>
      </c>
      <c r="D95" s="4">
        <v>1346.7</v>
      </c>
      <c r="E95" s="4">
        <v>4890.3</v>
      </c>
      <c r="F95" s="4">
        <v>4615.8</v>
      </c>
      <c r="G95" s="4">
        <v>2836</v>
      </c>
      <c r="H95" s="4">
        <v>1779.8</v>
      </c>
      <c r="I95" s="4">
        <v>5.6131525673271598</v>
      </c>
      <c r="J95" s="4">
        <v>141.78670411926399</v>
      </c>
      <c r="K95" s="4">
        <v>171.42690020741799</v>
      </c>
      <c r="L95" s="4">
        <v>132.64368693385799</v>
      </c>
      <c r="M95" s="4">
        <v>56.792032856053801</v>
      </c>
      <c r="N95" s="4">
        <v>114.618361128077</v>
      </c>
      <c r="O95" s="4">
        <v>101.04461979608099</v>
      </c>
      <c r="P95" s="4">
        <v>161.37049688057499</v>
      </c>
      <c r="Q95" s="4">
        <v>124.304847684528</v>
      </c>
      <c r="R95" s="4">
        <v>107.412157446281</v>
      </c>
      <c r="S95" s="4">
        <v>130.34931417982</v>
      </c>
      <c r="T95" s="4">
        <v>139.67031749222599</v>
      </c>
      <c r="U95" s="4">
        <v>198.71148381739999</v>
      </c>
      <c r="V95" s="4">
        <v>104.03472058112</v>
      </c>
      <c r="W95" s="4">
        <v>111.167362</v>
      </c>
      <c r="X95" s="4">
        <v>2.5989818181818198</v>
      </c>
      <c r="Y95" s="4">
        <v>3.8110463483603203E-2</v>
      </c>
    </row>
    <row r="96" spans="1:25" x14ac:dyDescent="0.3">
      <c r="A96" s="3" t="s">
        <v>676</v>
      </c>
      <c r="B96" s="4">
        <v>2762.8</v>
      </c>
      <c r="C96" s="4">
        <v>466.9</v>
      </c>
      <c r="D96" s="4">
        <v>1360.2</v>
      </c>
      <c r="E96" s="4">
        <v>4865.8</v>
      </c>
      <c r="F96" s="4">
        <v>4589.8999999999996</v>
      </c>
      <c r="G96" s="4">
        <v>2834.9</v>
      </c>
      <c r="H96" s="4">
        <v>1755</v>
      </c>
      <c r="I96" s="4">
        <v>5.6701878416704297</v>
      </c>
      <c r="J96" s="4">
        <v>144.52505372341599</v>
      </c>
      <c r="K96" s="4">
        <v>212.28402298372299</v>
      </c>
      <c r="L96" s="4">
        <v>136.19270505017801</v>
      </c>
      <c r="M96" s="4">
        <v>141.05784420544299</v>
      </c>
      <c r="N96" s="4">
        <v>120.5152190008</v>
      </c>
      <c r="O96" s="4">
        <v>106.182885886081</v>
      </c>
      <c r="P96" s="4">
        <v>169.68451073262099</v>
      </c>
      <c r="Q96" s="4">
        <v>138.26269026377901</v>
      </c>
      <c r="R96" s="4">
        <v>166.252545411331</v>
      </c>
      <c r="S96" s="4">
        <v>128.33069050031401</v>
      </c>
      <c r="T96" s="4">
        <v>143.97566458287</v>
      </c>
      <c r="U96" s="4">
        <v>175.492019008455</v>
      </c>
      <c r="V96" s="4">
        <v>101.84269643668701</v>
      </c>
      <c r="W96" s="4">
        <v>111.382566</v>
      </c>
      <c r="X96" s="4">
        <v>2.6472863636363599</v>
      </c>
      <c r="Y96" s="4">
        <v>-0.70227885798985801</v>
      </c>
    </row>
    <row r="97" spans="1:25" x14ac:dyDescent="0.3">
      <c r="A97" s="3" t="s">
        <v>677</v>
      </c>
      <c r="B97" s="4">
        <v>2765.2</v>
      </c>
      <c r="C97" s="4">
        <v>449.1</v>
      </c>
      <c r="D97" s="4">
        <v>1366.5</v>
      </c>
      <c r="E97" s="4">
        <v>4861.6000000000004</v>
      </c>
      <c r="F97" s="4">
        <v>4580.8</v>
      </c>
      <c r="G97" s="4">
        <v>2825</v>
      </c>
      <c r="H97" s="4">
        <v>1755.8</v>
      </c>
      <c r="I97" s="4">
        <v>5.7779331907191001</v>
      </c>
      <c r="J97" s="4">
        <v>144.131413574898</v>
      </c>
      <c r="K97" s="4">
        <v>195.74016581839601</v>
      </c>
      <c r="L97" s="4">
        <v>137.40286986861901</v>
      </c>
      <c r="M97" s="4">
        <v>170.58381779853701</v>
      </c>
      <c r="N97" s="4">
        <v>126.795556900666</v>
      </c>
      <c r="O97" s="4">
        <v>114.12634985862699</v>
      </c>
      <c r="P97" s="4">
        <v>165.23655574027899</v>
      </c>
      <c r="Q97" s="4">
        <v>140.32050651824801</v>
      </c>
      <c r="R97" s="4">
        <v>186.82689438482001</v>
      </c>
      <c r="S97" s="4">
        <v>123.72155030466899</v>
      </c>
      <c r="T97" s="4">
        <v>139.731053033065</v>
      </c>
      <c r="U97" s="4">
        <v>174.09186817537901</v>
      </c>
      <c r="V97" s="4">
        <v>98.735738698444607</v>
      </c>
      <c r="W97" s="4">
        <v>111.67416299999999</v>
      </c>
      <c r="X97" s="4">
        <v>2.7509842105263198</v>
      </c>
      <c r="Y97" s="4">
        <v>0.91661854339761495</v>
      </c>
    </row>
    <row r="98" spans="1:25" x14ac:dyDescent="0.3">
      <c r="A98" s="3" t="s">
        <v>678</v>
      </c>
      <c r="B98" s="4">
        <v>2778.9</v>
      </c>
      <c r="C98" s="4">
        <v>461.4</v>
      </c>
      <c r="D98" s="4">
        <v>1367.7</v>
      </c>
      <c r="E98" s="4">
        <v>4903.6000000000004</v>
      </c>
      <c r="F98" s="4">
        <v>4607.8999999999996</v>
      </c>
      <c r="G98" s="4">
        <v>2864.7</v>
      </c>
      <c r="H98" s="4">
        <v>1743.2</v>
      </c>
      <c r="I98" s="4">
        <v>6.0302634798923203</v>
      </c>
      <c r="J98" s="4">
        <v>145.815095106868</v>
      </c>
      <c r="K98" s="4">
        <v>134.450143441541</v>
      </c>
      <c r="L98" s="4">
        <v>137.68227709275899</v>
      </c>
      <c r="M98" s="4">
        <v>88.837686609142906</v>
      </c>
      <c r="N98" s="4">
        <v>125.09433312372801</v>
      </c>
      <c r="O98" s="4">
        <v>112.54668079753699</v>
      </c>
      <c r="P98" s="4">
        <v>163.15346267284801</v>
      </c>
      <c r="Q98" s="4">
        <v>131.742543151315</v>
      </c>
      <c r="R98" s="4">
        <v>134.65450164430101</v>
      </c>
      <c r="S98" s="4">
        <v>130.757183803186</v>
      </c>
      <c r="T98" s="4">
        <v>143.37503604333901</v>
      </c>
      <c r="U98" s="4">
        <v>207.21136239925499</v>
      </c>
      <c r="V98" s="4">
        <v>98.628798309275794</v>
      </c>
      <c r="W98" s="4">
        <v>112.286672</v>
      </c>
      <c r="X98" s="4">
        <v>2.7785761904761901</v>
      </c>
      <c r="Y98" s="4">
        <v>4.3964555478354104</v>
      </c>
    </row>
    <row r="99" spans="1:25" x14ac:dyDescent="0.3">
      <c r="A99" s="3" t="s">
        <v>679</v>
      </c>
      <c r="B99" s="4">
        <v>2762.8</v>
      </c>
      <c r="C99" s="4">
        <v>454.5</v>
      </c>
      <c r="D99" s="4">
        <v>1389.9</v>
      </c>
      <c r="E99" s="4">
        <v>4878.5</v>
      </c>
      <c r="F99" s="4">
        <v>4607.2</v>
      </c>
      <c r="G99" s="4">
        <v>2856.9</v>
      </c>
      <c r="H99" s="4">
        <v>1750.3</v>
      </c>
      <c r="I99" s="4">
        <v>5.5611355949574701</v>
      </c>
      <c r="J99" s="4">
        <v>143.654372163294</v>
      </c>
      <c r="K99" s="4">
        <v>99.234080606160006</v>
      </c>
      <c r="L99" s="4">
        <v>131.347271277056</v>
      </c>
      <c r="M99" s="4">
        <v>60.708539180527701</v>
      </c>
      <c r="N99" s="4">
        <v>129.09065828102999</v>
      </c>
      <c r="O99" s="4">
        <v>115.708355855905</v>
      </c>
      <c r="P99" s="4">
        <v>170.534638417347</v>
      </c>
      <c r="Q99" s="4">
        <v>126.434875490658</v>
      </c>
      <c r="R99" s="4">
        <v>113.10044644235499</v>
      </c>
      <c r="S99" s="4">
        <v>131.15414182973799</v>
      </c>
      <c r="T99" s="4">
        <v>143.03015866857299</v>
      </c>
      <c r="U99" s="4">
        <v>199.32900070546</v>
      </c>
      <c r="V99" s="4">
        <v>98.159177445208499</v>
      </c>
      <c r="W99" s="4">
        <v>112.896282</v>
      </c>
      <c r="X99" s="4">
        <v>2.8027380952380998</v>
      </c>
      <c r="Y99" s="4">
        <v>-8.9506391304908196E-4</v>
      </c>
    </row>
    <row r="100" spans="1:25" x14ac:dyDescent="0.3">
      <c r="A100" s="3" t="s">
        <v>680</v>
      </c>
      <c r="B100" s="4">
        <v>2749.6</v>
      </c>
      <c r="C100" s="4">
        <v>462.3</v>
      </c>
      <c r="D100" s="4">
        <v>1393.3</v>
      </c>
      <c r="E100" s="4">
        <v>4896.1000000000004</v>
      </c>
      <c r="F100" s="4">
        <v>4605.29</v>
      </c>
      <c r="G100" s="4">
        <v>2864.19</v>
      </c>
      <c r="H100" s="4">
        <v>1741.1</v>
      </c>
      <c r="I100" s="4">
        <v>5.9414636138967696</v>
      </c>
      <c r="J100" s="4">
        <v>143.469567366192</v>
      </c>
      <c r="K100" s="4">
        <v>90.196642598576204</v>
      </c>
      <c r="L100" s="4">
        <v>131.32260597232701</v>
      </c>
      <c r="M100" s="4">
        <v>61.350406311464099</v>
      </c>
      <c r="N100" s="4">
        <v>119.35070066425401</v>
      </c>
      <c r="O100" s="4">
        <v>106.527293068028</v>
      </c>
      <c r="P100" s="4">
        <v>160.14842874353599</v>
      </c>
      <c r="Q100" s="4">
        <v>129.23050166521699</v>
      </c>
      <c r="R100" s="4">
        <v>113.722394643621</v>
      </c>
      <c r="S100" s="4">
        <v>134.742594595616</v>
      </c>
      <c r="T100" s="4">
        <v>139.23163849544801</v>
      </c>
      <c r="U100" s="4">
        <v>182.45678221798701</v>
      </c>
      <c r="V100" s="4">
        <v>102.162761136882</v>
      </c>
      <c r="W100" s="4">
        <v>113.019091</v>
      </c>
      <c r="X100" s="4">
        <v>2.7834714285714299</v>
      </c>
      <c r="Y100" s="4">
        <v>-1.87191938732825</v>
      </c>
    </row>
    <row r="101" spans="1:25" x14ac:dyDescent="0.3">
      <c r="A101" s="3" t="s">
        <v>681</v>
      </c>
      <c r="B101" s="4">
        <v>2744.3</v>
      </c>
      <c r="C101" s="4">
        <v>476.4</v>
      </c>
      <c r="D101" s="4">
        <v>1396</v>
      </c>
      <c r="E101" s="4">
        <v>4899.3</v>
      </c>
      <c r="F101" s="4">
        <v>4616.7</v>
      </c>
      <c r="G101" s="4">
        <v>2867.4</v>
      </c>
      <c r="H101" s="4">
        <v>1749.3</v>
      </c>
      <c r="I101" s="4">
        <v>5.7681709631988198</v>
      </c>
      <c r="J101" s="4">
        <v>147.44216107328</v>
      </c>
      <c r="K101" s="4">
        <v>97.935895868969297</v>
      </c>
      <c r="L101" s="4">
        <v>131.834076284015</v>
      </c>
      <c r="M101" s="4">
        <v>63.287259868939501</v>
      </c>
      <c r="N101" s="4">
        <v>122.05230015019499</v>
      </c>
      <c r="O101" s="4">
        <v>110.66123799766901</v>
      </c>
      <c r="P101" s="4">
        <v>154.101050987381</v>
      </c>
      <c r="Q101" s="4">
        <v>134.43619262946501</v>
      </c>
      <c r="R101" s="4">
        <v>117.869307850044</v>
      </c>
      <c r="S101" s="4">
        <v>140.31227035848499</v>
      </c>
      <c r="T101" s="4">
        <v>145.310194142364</v>
      </c>
      <c r="U101" s="4">
        <v>218.186985316819</v>
      </c>
      <c r="V101" s="4">
        <v>98.765295246390707</v>
      </c>
      <c r="W101" s="4">
        <v>113.06234600000001</v>
      </c>
      <c r="X101" s="4">
        <v>2.7702380952381001</v>
      </c>
      <c r="Y101" s="4">
        <v>0.64583964799389804</v>
      </c>
    </row>
    <row r="102" spans="1:25" x14ac:dyDescent="0.3">
      <c r="A102" s="3" t="s">
        <v>682</v>
      </c>
      <c r="B102" s="4">
        <v>2726.4</v>
      </c>
      <c r="C102" s="4">
        <v>484.8</v>
      </c>
      <c r="D102" s="4">
        <v>1428.1</v>
      </c>
      <c r="E102" s="4">
        <v>4923.1000000000004</v>
      </c>
      <c r="F102" s="4">
        <v>4639.2</v>
      </c>
      <c r="G102" s="4">
        <v>2928.1</v>
      </c>
      <c r="H102" s="4">
        <v>1711.1</v>
      </c>
      <c r="I102" s="4">
        <v>5.7666917186325701</v>
      </c>
      <c r="J102" s="4">
        <v>147.37376670743501</v>
      </c>
      <c r="K102" s="4">
        <v>105.78590337653399</v>
      </c>
      <c r="L102" s="4">
        <v>136.82254002713799</v>
      </c>
      <c r="M102" s="4">
        <v>192.307697906675</v>
      </c>
      <c r="N102" s="4">
        <v>123.390580767803</v>
      </c>
      <c r="O102" s="4">
        <v>110.32371146277499</v>
      </c>
      <c r="P102" s="4">
        <v>164.13970810339001</v>
      </c>
      <c r="Q102" s="4">
        <v>142.792956173725</v>
      </c>
      <c r="R102" s="4">
        <v>168.21718382315299</v>
      </c>
      <c r="S102" s="4">
        <v>133.64974993296499</v>
      </c>
      <c r="T102" s="4">
        <v>142.89114595475601</v>
      </c>
      <c r="U102" s="4">
        <v>210.563407165011</v>
      </c>
      <c r="V102" s="4">
        <v>99.199600939874998</v>
      </c>
      <c r="W102" s="4">
        <v>112.815595</v>
      </c>
      <c r="X102" s="4">
        <v>2.7992149999999998</v>
      </c>
      <c r="Y102" s="4">
        <v>0.78645372360060095</v>
      </c>
    </row>
    <row r="103" spans="1:25" x14ac:dyDescent="0.3">
      <c r="A103" s="3" t="s">
        <v>683</v>
      </c>
      <c r="B103" s="4">
        <v>2750</v>
      </c>
      <c r="C103" s="4">
        <v>486.5</v>
      </c>
      <c r="D103" s="4">
        <v>1420.5</v>
      </c>
      <c r="E103" s="4">
        <v>4937.7</v>
      </c>
      <c r="F103" s="4">
        <v>4657.1000000000004</v>
      </c>
      <c r="G103" s="4">
        <v>2951.4</v>
      </c>
      <c r="H103" s="4">
        <v>1705.7</v>
      </c>
      <c r="I103" s="4">
        <v>5.6828077850011098</v>
      </c>
      <c r="J103" s="4">
        <v>158.721676108016</v>
      </c>
      <c r="K103" s="4">
        <v>109.195971953945</v>
      </c>
      <c r="L103" s="4">
        <v>136.39456407824201</v>
      </c>
      <c r="M103" s="4">
        <v>191.20804890536701</v>
      </c>
      <c r="N103" s="4">
        <v>129.81270083787399</v>
      </c>
      <c r="O103" s="4">
        <v>116.97225249529799</v>
      </c>
      <c r="P103" s="4">
        <v>167.88557410696399</v>
      </c>
      <c r="Q103" s="4">
        <v>140.849476813226</v>
      </c>
      <c r="R103" s="4">
        <v>173.376603397862</v>
      </c>
      <c r="S103" s="4">
        <v>129.234356301231</v>
      </c>
      <c r="T103" s="4">
        <v>146.423895429792</v>
      </c>
      <c r="U103" s="4">
        <v>261.671070616051</v>
      </c>
      <c r="V103" s="4">
        <v>97.5841744318015</v>
      </c>
      <c r="W103" s="4">
        <v>113.002663</v>
      </c>
      <c r="X103" s="4">
        <v>2.786705</v>
      </c>
      <c r="Y103" s="4">
        <v>7.4427725907109501</v>
      </c>
    </row>
    <row r="104" spans="1:25" x14ac:dyDescent="0.3">
      <c r="A104" s="3" t="s">
        <v>684</v>
      </c>
      <c r="B104" s="4">
        <v>2723.5</v>
      </c>
      <c r="C104" s="4">
        <v>464.1</v>
      </c>
      <c r="D104" s="4">
        <v>1408</v>
      </c>
      <c r="E104" s="4">
        <v>4908.1000000000004</v>
      </c>
      <c r="F104" s="4">
        <v>4595.6000000000004</v>
      </c>
      <c r="G104" s="4">
        <v>2879.9</v>
      </c>
      <c r="H104" s="4">
        <v>1715.7</v>
      </c>
      <c r="I104" s="4">
        <v>6.3690633850165996</v>
      </c>
      <c r="J104" s="4">
        <v>136.08015690052599</v>
      </c>
      <c r="K104" s="4">
        <v>104.98915745222899</v>
      </c>
      <c r="L104" s="4">
        <v>134.92872947055901</v>
      </c>
      <c r="M104" s="4">
        <v>84.895201814747594</v>
      </c>
      <c r="N104" s="4">
        <v>113.065171851766</v>
      </c>
      <c r="O104" s="4">
        <v>99.941172235342293</v>
      </c>
      <c r="P104" s="4">
        <v>158.506970608606</v>
      </c>
      <c r="Q104" s="4">
        <v>128.84533333598301</v>
      </c>
      <c r="R104" s="4">
        <v>129.67234302971099</v>
      </c>
      <c r="S104" s="4">
        <v>128.55231131183501</v>
      </c>
      <c r="T104" s="4">
        <v>149.16242961416501</v>
      </c>
      <c r="U104" s="4">
        <v>157.90691422768199</v>
      </c>
      <c r="V104" s="4">
        <v>98.217631256999795</v>
      </c>
      <c r="W104" s="4">
        <v>113.360708</v>
      </c>
      <c r="X104" s="4">
        <v>2.8101954545454499</v>
      </c>
      <c r="Y104" s="4">
        <v>-2.8181051039271399</v>
      </c>
    </row>
    <row r="105" spans="1:25" x14ac:dyDescent="0.3">
      <c r="A105" s="3" t="s">
        <v>685</v>
      </c>
      <c r="B105" s="4">
        <v>2777</v>
      </c>
      <c r="C105" s="4">
        <v>469.8</v>
      </c>
      <c r="D105" s="4">
        <v>1390.1</v>
      </c>
      <c r="E105" s="4">
        <v>4984.6000000000004</v>
      </c>
      <c r="F105" s="4">
        <v>4636.8999999999996</v>
      </c>
      <c r="G105" s="4">
        <v>2897.4</v>
      </c>
      <c r="H105" s="4">
        <v>1739.5</v>
      </c>
      <c r="I105" s="4">
        <v>6.9754844922360899</v>
      </c>
      <c r="J105" s="4">
        <v>135.80203382620201</v>
      </c>
      <c r="K105" s="4">
        <v>99.852187201304204</v>
      </c>
      <c r="L105" s="4">
        <v>133.59308483377299</v>
      </c>
      <c r="M105" s="4">
        <v>68.374492217226603</v>
      </c>
      <c r="N105" s="4">
        <v>112.438667285778</v>
      </c>
      <c r="O105" s="4">
        <v>99.520209189063195</v>
      </c>
      <c r="P105" s="4">
        <v>156.663588789822</v>
      </c>
      <c r="Q105" s="4">
        <v>120.412865542508</v>
      </c>
      <c r="R105" s="4">
        <v>112.02185612379699</v>
      </c>
      <c r="S105" s="4">
        <v>123.397915621713</v>
      </c>
      <c r="T105" s="4">
        <v>139.566246937626</v>
      </c>
      <c r="U105" s="4">
        <v>168.52671064681601</v>
      </c>
      <c r="V105" s="4">
        <v>98.541111475532801</v>
      </c>
      <c r="W105" s="4">
        <v>114.04182299999999</v>
      </c>
      <c r="X105" s="4">
        <v>2.8133550000000001</v>
      </c>
      <c r="Y105" s="4">
        <v>-0.86727762956729604</v>
      </c>
    </row>
    <row r="106" spans="1:25" x14ac:dyDescent="0.3">
      <c r="A106" s="3" t="s">
        <v>686</v>
      </c>
      <c r="B106" s="4">
        <v>2792.8</v>
      </c>
      <c r="C106" s="4">
        <v>476.1</v>
      </c>
      <c r="D106" s="4">
        <v>1377.1</v>
      </c>
      <c r="E106" s="4">
        <v>4992.8</v>
      </c>
      <c r="F106" s="4">
        <v>4646</v>
      </c>
      <c r="G106" s="4">
        <v>2893.7</v>
      </c>
      <c r="H106" s="4">
        <v>1752.3</v>
      </c>
      <c r="I106" s="4">
        <v>6.9480051273834302</v>
      </c>
      <c r="J106" s="4">
        <v>144.11540071255899</v>
      </c>
      <c r="K106" s="4">
        <v>122.924216065319</v>
      </c>
      <c r="L106" s="4">
        <v>145.146218591859</v>
      </c>
      <c r="M106" s="4">
        <v>51.550321787943098</v>
      </c>
      <c r="N106" s="4">
        <v>118.654831543509</v>
      </c>
      <c r="O106" s="4">
        <v>102.098360679164</v>
      </c>
      <c r="P106" s="4">
        <v>181.199438198199</v>
      </c>
      <c r="Q106" s="4">
        <v>127.520180287374</v>
      </c>
      <c r="R106" s="4">
        <v>122.40454638100999</v>
      </c>
      <c r="S106" s="4">
        <v>129.339274245365</v>
      </c>
      <c r="T106" s="4">
        <v>152.685720393108</v>
      </c>
      <c r="U106" s="4">
        <v>176.474314200263</v>
      </c>
      <c r="V106" s="4">
        <v>95.921196271799104</v>
      </c>
      <c r="W106" s="4">
        <v>114.633197</v>
      </c>
      <c r="X106" s="4">
        <v>2.8072523809523799</v>
      </c>
      <c r="Y106" s="4">
        <v>0.63960573214682803</v>
      </c>
    </row>
    <row r="107" spans="1:25" x14ac:dyDescent="0.3">
      <c r="A107" s="3" t="s">
        <v>687</v>
      </c>
      <c r="B107" s="4">
        <v>2786.6</v>
      </c>
      <c r="C107" s="4">
        <v>481.5</v>
      </c>
      <c r="D107" s="4">
        <v>1391.1</v>
      </c>
      <c r="E107" s="4">
        <v>4971.3</v>
      </c>
      <c r="F107" s="4">
        <v>4659.2</v>
      </c>
      <c r="G107" s="4">
        <v>2901.5</v>
      </c>
      <c r="H107" s="4">
        <v>1757.7</v>
      </c>
      <c r="I107" s="4">
        <v>6.2800474724921003</v>
      </c>
      <c r="J107" s="4">
        <v>145.931546827738</v>
      </c>
      <c r="K107" s="4">
        <v>180.39716775615099</v>
      </c>
      <c r="L107" s="4">
        <v>140.76725345685199</v>
      </c>
      <c r="M107" s="4">
        <v>89.616399455219394</v>
      </c>
      <c r="N107" s="4">
        <v>109.13890893200301</v>
      </c>
      <c r="O107" s="4">
        <v>93.030694343515606</v>
      </c>
      <c r="P107" s="4">
        <v>170.98490553492499</v>
      </c>
      <c r="Q107" s="4">
        <v>126.459617360991</v>
      </c>
      <c r="R107" s="4">
        <v>136.314183671412</v>
      </c>
      <c r="S107" s="4">
        <v>122.9343298524</v>
      </c>
      <c r="T107" s="4">
        <v>146.468759534974</v>
      </c>
      <c r="U107" s="4">
        <v>186.11317574337701</v>
      </c>
      <c r="V107" s="4">
        <v>96.120759087552401</v>
      </c>
      <c r="W107" s="4">
        <v>115.08396</v>
      </c>
      <c r="X107" s="4">
        <v>2.7950650000000001</v>
      </c>
      <c r="Y107" s="4">
        <v>-0.87933998693281001</v>
      </c>
    </row>
    <row r="108" spans="1:25" x14ac:dyDescent="0.3">
      <c r="A108" s="3" t="s">
        <v>688</v>
      </c>
      <c r="B108" s="4">
        <v>2738.8</v>
      </c>
      <c r="C108" s="4">
        <v>495.3</v>
      </c>
      <c r="D108" s="4">
        <v>1380.2</v>
      </c>
      <c r="E108" s="4">
        <v>4898.5</v>
      </c>
      <c r="F108" s="4">
        <v>4614.3</v>
      </c>
      <c r="G108" s="4">
        <v>2854.2</v>
      </c>
      <c r="H108" s="4">
        <v>1760.1</v>
      </c>
      <c r="I108" s="4">
        <v>5.7997346126365201</v>
      </c>
      <c r="J108" s="4">
        <v>148.26902309403101</v>
      </c>
      <c r="K108" s="4">
        <v>211.61351681560001</v>
      </c>
      <c r="L108" s="4">
        <v>143.54070644682901</v>
      </c>
      <c r="M108" s="4">
        <v>126.6636534682</v>
      </c>
      <c r="N108" s="4">
        <v>118.106734658402</v>
      </c>
      <c r="O108" s="4">
        <v>103.163446566633</v>
      </c>
      <c r="P108" s="4">
        <v>171.176155031636</v>
      </c>
      <c r="Q108" s="4">
        <v>135.35254688380499</v>
      </c>
      <c r="R108" s="4">
        <v>153.66242802519901</v>
      </c>
      <c r="S108" s="4">
        <v>128.91817464272401</v>
      </c>
      <c r="T108" s="4">
        <v>151.14430121112599</v>
      </c>
      <c r="U108" s="4">
        <v>184.31897397900599</v>
      </c>
      <c r="V108" s="4">
        <v>95.421385288166604</v>
      </c>
      <c r="W108" s="4">
        <v>115.342934</v>
      </c>
      <c r="X108" s="4">
        <v>2.7879476190476198</v>
      </c>
      <c r="Y108" s="4">
        <v>-0.34523664316011599</v>
      </c>
    </row>
    <row r="109" spans="1:25" x14ac:dyDescent="0.3">
      <c r="A109" s="3" t="s">
        <v>689</v>
      </c>
      <c r="B109" s="4">
        <v>2691.1</v>
      </c>
      <c r="C109" s="4">
        <v>499.1</v>
      </c>
      <c r="D109" s="4">
        <v>1429.3</v>
      </c>
      <c r="E109" s="4">
        <v>4897.2</v>
      </c>
      <c r="F109" s="4">
        <v>4619.3999999999996</v>
      </c>
      <c r="G109" s="4">
        <v>2927.4</v>
      </c>
      <c r="H109" s="4">
        <v>1692</v>
      </c>
      <c r="I109" s="4">
        <v>5.6726292575349202</v>
      </c>
      <c r="J109" s="4">
        <v>144.67646648503401</v>
      </c>
      <c r="K109" s="4">
        <v>183.851524775993</v>
      </c>
      <c r="L109" s="4">
        <v>143.40019047559801</v>
      </c>
      <c r="M109" s="4">
        <v>119.215474708221</v>
      </c>
      <c r="N109" s="4">
        <v>119.112371240204</v>
      </c>
      <c r="O109" s="4">
        <v>106.167965169832</v>
      </c>
      <c r="P109" s="4">
        <v>160.90450476886201</v>
      </c>
      <c r="Q109" s="4">
        <v>127.32140683429</v>
      </c>
      <c r="R109" s="4">
        <v>142.34566053261801</v>
      </c>
      <c r="S109" s="4">
        <v>122.049571855374</v>
      </c>
      <c r="T109" s="4">
        <v>146.40459927952099</v>
      </c>
      <c r="U109" s="4">
        <v>178.58435523262099</v>
      </c>
      <c r="V109" s="4">
        <v>93.583806856890803</v>
      </c>
      <c r="W109" s="4">
        <v>115.526534</v>
      </c>
      <c r="X109" s="4">
        <v>2.7954238095238102</v>
      </c>
      <c r="Y109" s="4">
        <v>0.74101847074342597</v>
      </c>
    </row>
    <row r="110" spans="1:25" x14ac:dyDescent="0.3">
      <c r="A110" s="3" t="s">
        <v>690</v>
      </c>
      <c r="B110" s="4">
        <v>2686.7</v>
      </c>
      <c r="C110" s="4">
        <v>491.3</v>
      </c>
      <c r="D110" s="4">
        <v>1443.8</v>
      </c>
      <c r="E110" s="4">
        <v>4903</v>
      </c>
      <c r="F110" s="4">
        <v>4621.8</v>
      </c>
      <c r="G110" s="4">
        <v>3041.6</v>
      </c>
      <c r="H110" s="4">
        <v>1580.2</v>
      </c>
      <c r="I110" s="4">
        <v>5.7352641240057096</v>
      </c>
      <c r="J110" s="4">
        <v>147.929295918272</v>
      </c>
      <c r="K110" s="4">
        <v>137.53926433697399</v>
      </c>
      <c r="L110" s="4">
        <v>145.55615581188201</v>
      </c>
      <c r="M110" s="4">
        <v>94.707445066086294</v>
      </c>
      <c r="N110" s="4">
        <v>122.57480580237601</v>
      </c>
      <c r="O110" s="4">
        <v>107.614498739764</v>
      </c>
      <c r="P110" s="4">
        <v>174.37941670122001</v>
      </c>
      <c r="Q110" s="4">
        <v>124.81273227923199</v>
      </c>
      <c r="R110" s="4">
        <v>134.370712148341</v>
      </c>
      <c r="S110" s="4">
        <v>121.434270001755</v>
      </c>
      <c r="T110" s="4">
        <v>149.53725402114699</v>
      </c>
      <c r="U110" s="4">
        <v>202.46622220031199</v>
      </c>
      <c r="V110" s="4">
        <v>97.465696340989098</v>
      </c>
      <c r="W110" s="4">
        <v>116.027125</v>
      </c>
      <c r="X110" s="4">
        <v>2.7873999999999999</v>
      </c>
      <c r="Y110" s="4">
        <v>4.9727774483110201</v>
      </c>
    </row>
    <row r="111" spans="1:25" x14ac:dyDescent="0.3">
      <c r="A111" s="3" t="s">
        <v>691</v>
      </c>
      <c r="B111" s="4">
        <v>2703.7</v>
      </c>
      <c r="C111" s="4">
        <v>486.2</v>
      </c>
      <c r="D111" s="4">
        <v>1449.8</v>
      </c>
      <c r="E111" s="4">
        <v>4930.3999999999996</v>
      </c>
      <c r="F111" s="4">
        <v>4639.6000000000004</v>
      </c>
      <c r="G111" s="4">
        <v>3057.7</v>
      </c>
      <c r="H111" s="4">
        <v>1581.9</v>
      </c>
      <c r="I111" s="4">
        <v>5.8981015739088098</v>
      </c>
      <c r="J111" s="4">
        <v>145.59835467151299</v>
      </c>
      <c r="K111" s="4">
        <v>103.03164438359001</v>
      </c>
      <c r="L111" s="4">
        <v>141.42279670407299</v>
      </c>
      <c r="M111" s="4">
        <v>44.347587871375502</v>
      </c>
      <c r="N111" s="4">
        <v>123.948439879663</v>
      </c>
      <c r="O111" s="4">
        <v>110.56326970024</v>
      </c>
      <c r="P111" s="4">
        <v>166.65855590647999</v>
      </c>
      <c r="Q111" s="4">
        <v>122.28893935475899</v>
      </c>
      <c r="R111" s="4">
        <v>108.28119283908001</v>
      </c>
      <c r="S111" s="4">
        <v>127.254516659983</v>
      </c>
      <c r="T111" s="4">
        <v>149.063361279037</v>
      </c>
      <c r="U111" s="4">
        <v>191.834230278935</v>
      </c>
      <c r="V111" s="4">
        <v>98.169713828083999</v>
      </c>
      <c r="W111" s="4">
        <v>115.92778300000001</v>
      </c>
      <c r="X111" s="4">
        <v>2.8157714285714301</v>
      </c>
      <c r="Y111" s="4">
        <v>0.29143762969058401</v>
      </c>
    </row>
    <row r="112" spans="1:25" x14ac:dyDescent="0.3">
      <c r="A112" s="3" t="s">
        <v>692</v>
      </c>
      <c r="B112" s="4">
        <v>2700.1</v>
      </c>
      <c r="C112" s="4">
        <v>472.3</v>
      </c>
      <c r="D112" s="4">
        <v>1446.9</v>
      </c>
      <c r="E112" s="4">
        <v>4893.7</v>
      </c>
      <c r="F112" s="4">
        <v>4619.3</v>
      </c>
      <c r="G112" s="4">
        <v>3048.6</v>
      </c>
      <c r="H112" s="4">
        <v>1570.7</v>
      </c>
      <c r="I112" s="4">
        <v>5.6072092690602204</v>
      </c>
      <c r="J112" s="4">
        <v>147.304756751008</v>
      </c>
      <c r="K112" s="4">
        <v>90.859266148955996</v>
      </c>
      <c r="L112" s="4">
        <v>136.93769266235699</v>
      </c>
      <c r="M112" s="4">
        <v>39.828950340936601</v>
      </c>
      <c r="N112" s="4">
        <v>115.69121754827</v>
      </c>
      <c r="O112" s="4">
        <v>101.459204296065</v>
      </c>
      <c r="P112" s="4">
        <v>165.02700853747601</v>
      </c>
      <c r="Q112" s="4">
        <v>125.866121049988</v>
      </c>
      <c r="R112" s="4">
        <v>105.481788566359</v>
      </c>
      <c r="S112" s="4">
        <v>133.12176448521899</v>
      </c>
      <c r="T112" s="4">
        <v>146.056649012397</v>
      </c>
      <c r="U112" s="4">
        <v>195.22875697324699</v>
      </c>
      <c r="V112" s="4">
        <v>97.599425204495205</v>
      </c>
      <c r="W112" s="4">
        <v>116.11385</v>
      </c>
      <c r="X112" s="4">
        <v>2.8658000000000001</v>
      </c>
      <c r="Y112" s="4">
        <v>-0.182105737136847</v>
      </c>
    </row>
    <row r="113" spans="1:25" x14ac:dyDescent="0.3">
      <c r="A113" s="3" t="s">
        <v>693</v>
      </c>
      <c r="B113" s="4">
        <v>2759.6</v>
      </c>
      <c r="C113" s="4">
        <v>451.8</v>
      </c>
      <c r="D113" s="4">
        <v>1448.3</v>
      </c>
      <c r="E113" s="4">
        <v>4941</v>
      </c>
      <c r="F113" s="4">
        <v>4659.8</v>
      </c>
      <c r="G113" s="4">
        <v>3030.2</v>
      </c>
      <c r="H113" s="4">
        <v>1629.6</v>
      </c>
      <c r="I113" s="4">
        <v>5.6931795183161302</v>
      </c>
      <c r="J113" s="4">
        <v>150.794048039838</v>
      </c>
      <c r="K113" s="4">
        <v>98.146892959607897</v>
      </c>
      <c r="L113" s="4">
        <v>139.74016821753699</v>
      </c>
      <c r="M113" s="4">
        <v>53.754860194092799</v>
      </c>
      <c r="N113" s="4">
        <v>126.604130559854</v>
      </c>
      <c r="O113" s="4">
        <v>110.852565167064</v>
      </c>
      <c r="P113" s="4">
        <v>181.22742687976501</v>
      </c>
      <c r="Q113" s="4">
        <v>129.54640250765999</v>
      </c>
      <c r="R113" s="4">
        <v>105.095731767337</v>
      </c>
      <c r="S113" s="4">
        <v>138.242003949843</v>
      </c>
      <c r="T113" s="4">
        <v>152.13749315535301</v>
      </c>
      <c r="U113" s="4">
        <v>210.70317172045301</v>
      </c>
      <c r="V113" s="4">
        <v>95.795725644352302</v>
      </c>
      <c r="W113" s="4">
        <v>116.553757</v>
      </c>
      <c r="X113" s="4">
        <v>2.9075409090909101</v>
      </c>
      <c r="Y113" s="4">
        <v>0.78334833854355201</v>
      </c>
    </row>
    <row r="114" spans="1:25" x14ac:dyDescent="0.3">
      <c r="A114" s="3" t="s">
        <v>694</v>
      </c>
      <c r="B114" s="4">
        <v>2755.4</v>
      </c>
      <c r="C114" s="4">
        <v>450.6</v>
      </c>
      <c r="D114" s="4">
        <v>1490.5</v>
      </c>
      <c r="E114" s="4">
        <v>4965.8</v>
      </c>
      <c r="F114" s="4">
        <v>4696.5</v>
      </c>
      <c r="G114" s="4">
        <v>3127.3</v>
      </c>
      <c r="H114" s="4">
        <v>1569.2</v>
      </c>
      <c r="I114" s="4">
        <v>5.4230939627049004</v>
      </c>
      <c r="J114" s="4">
        <v>147.60537140318999</v>
      </c>
      <c r="K114" s="4">
        <v>112.74562151998001</v>
      </c>
      <c r="L114" s="4">
        <v>145.461880277506</v>
      </c>
      <c r="M114" s="4">
        <v>56.113241912394102</v>
      </c>
      <c r="N114" s="4">
        <v>124.013883819653</v>
      </c>
      <c r="O114" s="4">
        <v>109.32077440664</v>
      </c>
      <c r="P114" s="4">
        <v>173.45565003998601</v>
      </c>
      <c r="Q114" s="4">
        <v>122.774290515622</v>
      </c>
      <c r="R114" s="4">
        <v>99.266638023249797</v>
      </c>
      <c r="S114" s="4">
        <v>131.14308215098799</v>
      </c>
      <c r="T114" s="4">
        <v>149.354829305679</v>
      </c>
      <c r="U114" s="4">
        <v>218.375309570833</v>
      </c>
      <c r="V114" s="4">
        <v>96.993173703226702</v>
      </c>
      <c r="W114" s="4">
        <v>116.379555</v>
      </c>
      <c r="X114" s="4">
        <v>2.9264250000000001</v>
      </c>
      <c r="Y114" s="4">
        <v>0.390916114841178</v>
      </c>
    </row>
    <row r="115" spans="1:25" x14ac:dyDescent="0.3">
      <c r="A115" s="3" t="s">
        <v>695</v>
      </c>
      <c r="B115" s="4">
        <v>2774.5</v>
      </c>
      <c r="C115" s="4">
        <v>446.5</v>
      </c>
      <c r="D115" s="4">
        <v>1474.9</v>
      </c>
      <c r="E115" s="4">
        <v>4972.2</v>
      </c>
      <c r="F115" s="4">
        <v>4695.8999999999996</v>
      </c>
      <c r="G115" s="4">
        <v>3111</v>
      </c>
      <c r="H115" s="4">
        <v>1584.9</v>
      </c>
      <c r="I115" s="4">
        <v>5.5568963436708101</v>
      </c>
      <c r="J115" s="4">
        <v>159.98137338008701</v>
      </c>
      <c r="K115" s="4">
        <v>108.74067100027401</v>
      </c>
      <c r="L115" s="4">
        <v>148.80373937512999</v>
      </c>
      <c r="M115" s="4">
        <v>65.382665744984095</v>
      </c>
      <c r="N115" s="4">
        <v>123.13329064669099</v>
      </c>
      <c r="O115" s="4">
        <v>108.00529181248601</v>
      </c>
      <c r="P115" s="4">
        <v>175.30520714180901</v>
      </c>
      <c r="Q115" s="4">
        <v>124.13723706277899</v>
      </c>
      <c r="R115" s="4">
        <v>114.191709387757</v>
      </c>
      <c r="S115" s="4">
        <v>127.689376895311</v>
      </c>
      <c r="T115" s="4">
        <v>152.721174839382</v>
      </c>
      <c r="U115" s="4">
        <v>279.90721932906598</v>
      </c>
      <c r="V115" s="4">
        <v>97.131480145840897</v>
      </c>
      <c r="W115" s="4">
        <v>116.645938</v>
      </c>
      <c r="X115" s="4">
        <v>2.9637523809523798</v>
      </c>
      <c r="Y115" s="4">
        <v>8.6569238901196108</v>
      </c>
    </row>
    <row r="116" spans="1:25" x14ac:dyDescent="0.3">
      <c r="A116" s="3" t="s">
        <v>14</v>
      </c>
      <c r="B116" s="4">
        <v>2730.1</v>
      </c>
      <c r="C116" s="4">
        <v>446.1</v>
      </c>
      <c r="D116" s="4">
        <v>1459.4</v>
      </c>
      <c r="E116" s="4">
        <v>4950.2</v>
      </c>
      <c r="F116" s="4">
        <v>4635.7</v>
      </c>
      <c r="G116" s="4">
        <v>3070.1</v>
      </c>
      <c r="H116" s="4">
        <v>1565.6</v>
      </c>
      <c r="I116" s="4">
        <v>6.35327865540786</v>
      </c>
      <c r="J116" s="4">
        <v>138.20277328562099</v>
      </c>
      <c r="K116" s="4">
        <v>97.351739252618003</v>
      </c>
      <c r="L116" s="4">
        <v>142.22483221779501</v>
      </c>
      <c r="M116" s="4">
        <v>64.936339868100504</v>
      </c>
      <c r="N116" s="4">
        <v>119.83039801276701</v>
      </c>
      <c r="O116" s="4">
        <v>106.19141926987599</v>
      </c>
      <c r="P116" s="4">
        <v>166.519834436504</v>
      </c>
      <c r="Q116" s="4">
        <v>119.99123764582799</v>
      </c>
      <c r="R116" s="4">
        <v>109.051268959754</v>
      </c>
      <c r="S116" s="4">
        <v>123.929491548605</v>
      </c>
      <c r="T116" s="4">
        <v>155.98578769484601</v>
      </c>
      <c r="U116" s="4">
        <v>153.438148555038</v>
      </c>
      <c r="V116" s="4">
        <v>93.219995110035896</v>
      </c>
      <c r="W116" s="4">
        <v>116.84458100000001</v>
      </c>
      <c r="X116" s="4">
        <v>3.0076000000000001</v>
      </c>
      <c r="Y116" s="4">
        <v>-3.2848533291281301</v>
      </c>
    </row>
    <row r="117" spans="1:25" x14ac:dyDescent="0.3">
      <c r="A117" s="3" t="s">
        <v>15</v>
      </c>
      <c r="B117" s="4">
        <v>2759.3</v>
      </c>
      <c r="C117" s="4">
        <v>434.8</v>
      </c>
      <c r="D117" s="4">
        <v>1432.2</v>
      </c>
      <c r="E117" s="4">
        <v>4968.7</v>
      </c>
      <c r="F117" s="4">
        <v>4626.3</v>
      </c>
      <c r="G117" s="4">
        <v>3004.7</v>
      </c>
      <c r="H117" s="4">
        <v>1621.6</v>
      </c>
      <c r="I117" s="4">
        <v>6.89113852718015</v>
      </c>
      <c r="J117" s="4">
        <v>137.47533289749899</v>
      </c>
      <c r="K117" s="4">
        <v>101.99794750589901</v>
      </c>
      <c r="L117" s="4">
        <v>139.71566151634099</v>
      </c>
      <c r="M117" s="4">
        <v>60.319977034037301</v>
      </c>
      <c r="N117" s="4">
        <v>110.31837095772001</v>
      </c>
      <c r="O117" s="4">
        <v>99.184113460913693</v>
      </c>
      <c r="P117" s="4">
        <v>145.324526695093</v>
      </c>
      <c r="Q117" s="4">
        <v>115.252175764057</v>
      </c>
      <c r="R117" s="4">
        <v>99.762115711358803</v>
      </c>
      <c r="S117" s="4">
        <v>120.77326472550899</v>
      </c>
      <c r="T117" s="4">
        <v>144.61959289809499</v>
      </c>
      <c r="U117" s="4">
        <v>152.43240978004499</v>
      </c>
      <c r="V117" s="4">
        <v>94.163666286425297</v>
      </c>
      <c r="W117" s="4">
        <v>117.199168</v>
      </c>
      <c r="X117" s="4">
        <v>3.0800700000000001</v>
      </c>
      <c r="Y117" s="4">
        <v>-0.16513800644964499</v>
      </c>
    </row>
    <row r="118" spans="1:25" x14ac:dyDescent="0.3">
      <c r="A118" s="3" t="s">
        <v>16</v>
      </c>
      <c r="B118" s="4">
        <v>2768.3</v>
      </c>
      <c r="C118" s="4">
        <v>443.1</v>
      </c>
      <c r="D118" s="4">
        <v>1437.5</v>
      </c>
      <c r="E118" s="4">
        <v>5000.3</v>
      </c>
      <c r="F118" s="4">
        <v>4649</v>
      </c>
      <c r="G118" s="4">
        <v>2992.5</v>
      </c>
      <c r="H118" s="4">
        <v>1656.5</v>
      </c>
      <c r="I118" s="4">
        <v>7.0255784652920799</v>
      </c>
      <c r="J118" s="4">
        <v>148.34467692442399</v>
      </c>
      <c r="K118" s="4">
        <v>124.96423315448</v>
      </c>
      <c r="L118" s="4">
        <v>149.95274492073199</v>
      </c>
      <c r="M118" s="4">
        <v>60.695348873124203</v>
      </c>
      <c r="N118" s="4">
        <v>129.215533637248</v>
      </c>
      <c r="O118" s="4">
        <v>117.34794265902801</v>
      </c>
      <c r="P118" s="4">
        <v>163.72364848973501</v>
      </c>
      <c r="Q118" s="4">
        <v>121.95445428063699</v>
      </c>
      <c r="R118" s="4">
        <v>114.551435919211</v>
      </c>
      <c r="S118" s="4">
        <v>124.589870157099</v>
      </c>
      <c r="T118" s="4">
        <v>160.64032477882901</v>
      </c>
      <c r="U118" s="4">
        <v>162.956381732522</v>
      </c>
      <c r="V118" s="4">
        <v>91.098105409643594</v>
      </c>
      <c r="W118" s="4">
        <v>118.095348</v>
      </c>
      <c r="X118" s="4">
        <v>3.0933227272727302</v>
      </c>
      <c r="Y118" s="4">
        <v>-2.3116900525523398</v>
      </c>
    </row>
    <row r="119" spans="1:25" x14ac:dyDescent="0.3">
      <c r="A119" s="3" t="s">
        <v>17</v>
      </c>
      <c r="B119" s="4">
        <v>2762.5</v>
      </c>
      <c r="C119" s="4">
        <v>463</v>
      </c>
      <c r="D119" s="4">
        <v>1431</v>
      </c>
      <c r="E119" s="4">
        <v>4996.7</v>
      </c>
      <c r="F119" s="4">
        <v>4656.5</v>
      </c>
      <c r="G119" s="4">
        <v>2968.8</v>
      </c>
      <c r="H119" s="4">
        <v>1687.7</v>
      </c>
      <c r="I119" s="4">
        <v>6.8084936057798204</v>
      </c>
      <c r="J119" s="4">
        <v>152.05457110415301</v>
      </c>
      <c r="K119" s="4">
        <v>175.097987091622</v>
      </c>
      <c r="L119" s="4">
        <v>148.278465812956</v>
      </c>
      <c r="M119" s="4">
        <v>218.224894313405</v>
      </c>
      <c r="N119" s="4">
        <v>119.43171355269099</v>
      </c>
      <c r="O119" s="4">
        <v>110.140136723189</v>
      </c>
      <c r="P119" s="4">
        <v>141.73404725338301</v>
      </c>
      <c r="Q119" s="4">
        <v>133.84725072167399</v>
      </c>
      <c r="R119" s="4">
        <v>181.47006078659501</v>
      </c>
      <c r="S119" s="4">
        <v>116.799924133114</v>
      </c>
      <c r="T119" s="4">
        <v>153.95891294407201</v>
      </c>
      <c r="U119" s="4">
        <v>169.93994077127701</v>
      </c>
      <c r="V119" s="4">
        <v>91.926678090454999</v>
      </c>
      <c r="W119" s="4">
        <v>118.556518</v>
      </c>
      <c r="X119" s="4">
        <v>3.1216200000000001</v>
      </c>
      <c r="Y119" s="4">
        <v>-0.307985089348354</v>
      </c>
    </row>
    <row r="120" spans="1:25" x14ac:dyDescent="0.3">
      <c r="A120" s="3" t="s">
        <v>18</v>
      </c>
      <c r="B120" s="4">
        <v>2765.1</v>
      </c>
      <c r="C120" s="4">
        <v>457.8</v>
      </c>
      <c r="D120" s="4">
        <v>1410.6</v>
      </c>
      <c r="E120" s="4">
        <v>4980.8999999999996</v>
      </c>
      <c r="F120" s="4">
        <v>4633.3999999999996</v>
      </c>
      <c r="G120" s="4">
        <v>2969.4</v>
      </c>
      <c r="H120" s="4">
        <v>1664</v>
      </c>
      <c r="I120" s="4">
        <v>6.9766508060792196</v>
      </c>
      <c r="J120" s="4">
        <v>150.16888952839099</v>
      </c>
      <c r="K120" s="4">
        <v>217.665475289727</v>
      </c>
      <c r="L120" s="4">
        <v>152.19168197219699</v>
      </c>
      <c r="M120" s="4">
        <v>155.98628924608801</v>
      </c>
      <c r="N120" s="4">
        <v>120.332656437712</v>
      </c>
      <c r="O120" s="4">
        <v>112.653996062893</v>
      </c>
      <c r="P120" s="4">
        <v>133.34222975200601</v>
      </c>
      <c r="Q120" s="4">
        <v>130.928916316147</v>
      </c>
      <c r="R120" s="4">
        <v>157.97225583600701</v>
      </c>
      <c r="S120" s="4">
        <v>121.32762533471799</v>
      </c>
      <c r="T120" s="4">
        <v>158.64052912785701</v>
      </c>
      <c r="U120" s="4">
        <v>159.73496959290301</v>
      </c>
      <c r="V120" s="4">
        <v>93.127717905008595</v>
      </c>
      <c r="W120" s="4">
        <v>119.22561</v>
      </c>
      <c r="X120" s="4">
        <v>3.1522199999999998</v>
      </c>
      <c r="Y120" s="4">
        <v>1.3542978218458901</v>
      </c>
    </row>
    <row r="121" spans="1:25" x14ac:dyDescent="0.3">
      <c r="A121" s="3" t="s">
        <v>19</v>
      </c>
      <c r="B121" s="4">
        <v>2760.1</v>
      </c>
      <c r="C121" s="4">
        <v>472.4</v>
      </c>
      <c r="D121" s="4">
        <v>1405.8</v>
      </c>
      <c r="E121" s="4">
        <v>4977.8999999999996</v>
      </c>
      <c r="F121" s="4">
        <v>4638.3</v>
      </c>
      <c r="G121" s="4">
        <v>2996.6</v>
      </c>
      <c r="H121" s="4">
        <v>1641.7</v>
      </c>
      <c r="I121" s="4">
        <v>6.8221539203278496</v>
      </c>
      <c r="J121" s="4">
        <v>150.58488612512599</v>
      </c>
      <c r="K121" s="4">
        <v>202.47137696736701</v>
      </c>
      <c r="L121" s="4">
        <v>151.659850703948</v>
      </c>
      <c r="M121" s="4">
        <v>83.9276941945879</v>
      </c>
      <c r="N121" s="4">
        <v>132.79797197750901</v>
      </c>
      <c r="O121" s="4">
        <v>122.770238790721</v>
      </c>
      <c r="P121" s="4">
        <v>155.40426788206301</v>
      </c>
      <c r="Q121" s="4">
        <v>124.357433208751</v>
      </c>
      <c r="R121" s="4">
        <v>135.111915709849</v>
      </c>
      <c r="S121" s="4">
        <v>120.655036118841</v>
      </c>
      <c r="T121" s="4">
        <v>154.02009044823899</v>
      </c>
      <c r="U121" s="4">
        <v>172.05142897627599</v>
      </c>
      <c r="V121" s="4">
        <v>91.789608724417207</v>
      </c>
      <c r="W121" s="4">
        <v>119.62184600000001</v>
      </c>
      <c r="X121" s="4">
        <v>3.16261428571429</v>
      </c>
      <c r="Y121" s="4">
        <v>-1.2866810131300499</v>
      </c>
    </row>
    <row r="122" spans="1:25" x14ac:dyDescent="0.3">
      <c r="A122" s="3" t="s">
        <v>20</v>
      </c>
      <c r="B122" s="4">
        <v>2747.5</v>
      </c>
      <c r="C122" s="4">
        <v>486.6</v>
      </c>
      <c r="D122" s="4">
        <v>1438.1</v>
      </c>
      <c r="E122" s="4">
        <v>4993.7</v>
      </c>
      <c r="F122" s="4">
        <v>4672.2</v>
      </c>
      <c r="G122" s="4">
        <v>3042.4</v>
      </c>
      <c r="H122" s="4">
        <v>1629.8</v>
      </c>
      <c r="I122" s="4">
        <v>6.43811202114665</v>
      </c>
      <c r="J122" s="4">
        <v>153.25731498656501</v>
      </c>
      <c r="K122" s="4">
        <v>146.645201016877</v>
      </c>
      <c r="L122" s="4">
        <v>154.38029841498499</v>
      </c>
      <c r="M122" s="4">
        <v>59.201623910810603</v>
      </c>
      <c r="N122" s="4">
        <v>136.46735060036599</v>
      </c>
      <c r="O122" s="4">
        <v>128.271755262933</v>
      </c>
      <c r="P122" s="4">
        <v>148.08012176295</v>
      </c>
      <c r="Q122" s="4">
        <v>124.262246537352</v>
      </c>
      <c r="R122" s="4">
        <v>120.48373996497099</v>
      </c>
      <c r="S122" s="4">
        <v>125.7005492406</v>
      </c>
      <c r="T122" s="4">
        <v>157.242502735008</v>
      </c>
      <c r="U122" s="4">
        <v>187.24076229084801</v>
      </c>
      <c r="V122" s="4">
        <v>89.712069980109405</v>
      </c>
      <c r="W122" s="4">
        <v>120.161085</v>
      </c>
      <c r="X122" s="4">
        <v>3.1829200000000002</v>
      </c>
      <c r="Y122" s="4">
        <v>4.11614364919655</v>
      </c>
    </row>
    <row r="123" spans="1:25" x14ac:dyDescent="0.3">
      <c r="A123" s="3" t="s">
        <v>21</v>
      </c>
      <c r="B123" s="4">
        <v>2724.3</v>
      </c>
      <c r="C123" s="4">
        <v>508.1</v>
      </c>
      <c r="D123" s="4">
        <v>1445.4</v>
      </c>
      <c r="E123" s="4">
        <v>4984</v>
      </c>
      <c r="F123" s="4">
        <v>4677.8</v>
      </c>
      <c r="G123" s="4">
        <v>3077.6</v>
      </c>
      <c r="H123" s="4">
        <v>1600.2</v>
      </c>
      <c r="I123" s="4">
        <v>6.1436597110754398</v>
      </c>
      <c r="J123" s="4">
        <v>149.48457801703501</v>
      </c>
      <c r="K123" s="4">
        <v>102.576174296294</v>
      </c>
      <c r="L123" s="4">
        <v>149.07700157828199</v>
      </c>
      <c r="M123" s="4">
        <v>39.7753515618367</v>
      </c>
      <c r="N123" s="4">
        <v>132.03698880872</v>
      </c>
      <c r="O123" s="4">
        <v>125.875306734883</v>
      </c>
      <c r="P123" s="4">
        <v>133.46399883863799</v>
      </c>
      <c r="Q123" s="4">
        <v>120.15335703764799</v>
      </c>
      <c r="R123" s="4">
        <v>103.77906396033799</v>
      </c>
      <c r="S123" s="4">
        <v>125.966214564642</v>
      </c>
      <c r="T123" s="4">
        <v>158.635896042946</v>
      </c>
      <c r="U123" s="4">
        <v>176.23810735725701</v>
      </c>
      <c r="V123" s="4">
        <v>88.058505295563705</v>
      </c>
      <c r="W123" s="4">
        <v>120.61436399999999</v>
      </c>
      <c r="X123" s="4">
        <v>3.2413380952380901</v>
      </c>
      <c r="Y123" s="4">
        <v>-1.6271699630599299</v>
      </c>
    </row>
    <row r="124" spans="1:25" x14ac:dyDescent="0.3">
      <c r="A124" s="3" t="s">
        <v>22</v>
      </c>
      <c r="B124" s="4">
        <v>2740</v>
      </c>
      <c r="C124" s="4">
        <v>509.7</v>
      </c>
      <c r="D124" s="4">
        <v>1425.1</v>
      </c>
      <c r="E124" s="4">
        <v>4996.5</v>
      </c>
      <c r="F124" s="4">
        <v>4674.8</v>
      </c>
      <c r="G124" s="4">
        <v>3058.9</v>
      </c>
      <c r="H124" s="4">
        <v>1615.9</v>
      </c>
      <c r="I124" s="4">
        <v>6.4385069548684104</v>
      </c>
      <c r="J124" s="4">
        <v>152.001795472531</v>
      </c>
      <c r="K124" s="4">
        <v>95.344354740151402</v>
      </c>
      <c r="L124" s="4">
        <v>145.03344374691699</v>
      </c>
      <c r="M124" s="4">
        <v>41.290672818449004</v>
      </c>
      <c r="N124" s="4">
        <v>130.858237877222</v>
      </c>
      <c r="O124" s="4">
        <v>124.62428082239001</v>
      </c>
      <c r="P124" s="4">
        <v>133.07236513996</v>
      </c>
      <c r="Q124" s="4">
        <v>121.081980155303</v>
      </c>
      <c r="R124" s="4">
        <v>96.676684792531006</v>
      </c>
      <c r="S124" s="4">
        <v>129.776956452186</v>
      </c>
      <c r="T124" s="4">
        <v>155.654511313873</v>
      </c>
      <c r="U124" s="4">
        <v>185.87729951422801</v>
      </c>
      <c r="V124" s="4">
        <v>85.969375723020704</v>
      </c>
      <c r="W124" s="4">
        <v>120.64757899999999</v>
      </c>
      <c r="X124" s="4">
        <v>3.2204136363636402</v>
      </c>
      <c r="Y124" s="4">
        <v>-1.2572589451243601</v>
      </c>
    </row>
    <row r="125" spans="1:25" x14ac:dyDescent="0.3">
      <c r="A125" s="3" t="s">
        <v>23</v>
      </c>
      <c r="B125" s="4">
        <v>2795.2</v>
      </c>
      <c r="C125" s="4">
        <v>514</v>
      </c>
      <c r="D125" s="4">
        <v>1434</v>
      </c>
      <c r="E125" s="4">
        <v>5036.8999999999996</v>
      </c>
      <c r="F125" s="4">
        <v>4743.2</v>
      </c>
      <c r="G125" s="4">
        <v>3099.5</v>
      </c>
      <c r="H125" s="4">
        <v>1643.7</v>
      </c>
      <c r="I125" s="4">
        <v>5.8309674601441399</v>
      </c>
      <c r="J125" s="4">
        <v>155.732799904909</v>
      </c>
      <c r="K125" s="4">
        <v>103.68206131828001</v>
      </c>
      <c r="L125" s="4">
        <v>148.23296438902901</v>
      </c>
      <c r="M125" s="4">
        <v>49.083562843226098</v>
      </c>
      <c r="N125" s="4">
        <v>140.26225127715301</v>
      </c>
      <c r="O125" s="4">
        <v>130.23776820612699</v>
      </c>
      <c r="P125" s="4">
        <v>160.437012372553</v>
      </c>
      <c r="Q125" s="4">
        <v>125.66319491716</v>
      </c>
      <c r="R125" s="4">
        <v>109.022006568782</v>
      </c>
      <c r="S125" s="4">
        <v>131.569178260168</v>
      </c>
      <c r="T125" s="4">
        <v>162.82354246284899</v>
      </c>
      <c r="U125" s="4">
        <v>208.34329619718301</v>
      </c>
      <c r="V125" s="4">
        <v>89.347098060623793</v>
      </c>
      <c r="W125" s="4">
        <v>120.819863</v>
      </c>
      <c r="X125" s="4">
        <v>3.250775</v>
      </c>
      <c r="Y125" s="4">
        <v>2.9875333077992399</v>
      </c>
    </row>
    <row r="126" spans="1:25" x14ac:dyDescent="0.3">
      <c r="A126" s="3" t="s">
        <v>24</v>
      </c>
      <c r="B126" s="4">
        <v>2841.3</v>
      </c>
      <c r="C126" s="4">
        <v>499.5</v>
      </c>
      <c r="D126" s="4">
        <v>1456.6</v>
      </c>
      <c r="E126" s="4">
        <v>5090.8</v>
      </c>
      <c r="F126" s="4">
        <v>4797.5</v>
      </c>
      <c r="G126" s="4">
        <v>3127.8</v>
      </c>
      <c r="H126" s="4">
        <v>1669.7</v>
      </c>
      <c r="I126" s="4">
        <v>5.7613734580026703</v>
      </c>
      <c r="J126" s="4">
        <v>153.428539254848</v>
      </c>
      <c r="K126" s="4">
        <v>111.457808317683</v>
      </c>
      <c r="L126" s="4">
        <v>152.158392782471</v>
      </c>
      <c r="M126" s="4">
        <v>83.591896476893496</v>
      </c>
      <c r="N126" s="4">
        <v>138.35458970265401</v>
      </c>
      <c r="O126" s="4">
        <v>128.98869839140201</v>
      </c>
      <c r="P126" s="4">
        <v>155.294565598856</v>
      </c>
      <c r="Q126" s="4">
        <v>124.868571220737</v>
      </c>
      <c r="R126" s="4">
        <v>117.224545164041</v>
      </c>
      <c r="S126" s="4">
        <v>127.561316178822</v>
      </c>
      <c r="T126" s="4">
        <v>160.14018987701499</v>
      </c>
      <c r="U126" s="4">
        <v>204.11540185585699</v>
      </c>
      <c r="V126" s="4">
        <v>86.917483045093704</v>
      </c>
      <c r="W126" s="4">
        <v>121.23557</v>
      </c>
      <c r="X126" s="4">
        <v>3.3389619047618999</v>
      </c>
      <c r="Y126" s="4">
        <v>-0.83576839312137496</v>
      </c>
    </row>
    <row r="127" spans="1:25" x14ac:dyDescent="0.3">
      <c r="A127" s="3" t="s">
        <v>25</v>
      </c>
      <c r="B127" s="4">
        <v>2825.6</v>
      </c>
      <c r="C127" s="4">
        <v>500.8</v>
      </c>
      <c r="D127" s="4">
        <v>1491</v>
      </c>
      <c r="E127" s="4">
        <v>5108</v>
      </c>
      <c r="F127" s="4">
        <v>4817.3999999999996</v>
      </c>
      <c r="G127" s="4">
        <v>3139.7</v>
      </c>
      <c r="H127" s="4">
        <v>1677.7</v>
      </c>
      <c r="I127" s="4">
        <v>5.6891151135473796</v>
      </c>
      <c r="J127" s="4">
        <v>170.39890019487399</v>
      </c>
      <c r="K127" s="4">
        <v>111.924546139592</v>
      </c>
      <c r="L127" s="4">
        <v>155.393892762093</v>
      </c>
      <c r="M127" s="4">
        <v>119.34951805089401</v>
      </c>
      <c r="N127" s="4">
        <v>151.53562409153801</v>
      </c>
      <c r="O127" s="4">
        <v>142.12577187705699</v>
      </c>
      <c r="P127" s="4">
        <v>165.59102761662001</v>
      </c>
      <c r="Q127" s="4">
        <v>130.676151533649</v>
      </c>
      <c r="R127" s="4">
        <v>140.79569881414301</v>
      </c>
      <c r="S127" s="4">
        <v>127.063523110931</v>
      </c>
      <c r="T127" s="4">
        <v>167.818951661136</v>
      </c>
      <c r="U127" s="4">
        <v>281.33443505997502</v>
      </c>
      <c r="V127" s="4">
        <v>85.857193485533102</v>
      </c>
      <c r="W127" s="4">
        <v>121.775943</v>
      </c>
      <c r="X127" s="4">
        <v>3.3847238095238099</v>
      </c>
      <c r="Y127" s="4">
        <v>6.7733926113128504</v>
      </c>
    </row>
    <row r="128" spans="1:25" x14ac:dyDescent="0.3">
      <c r="A128" s="3" t="s">
        <v>26</v>
      </c>
      <c r="B128" s="4">
        <v>2821.2</v>
      </c>
      <c r="C128" s="4">
        <v>478.7</v>
      </c>
      <c r="D128" s="4">
        <v>1452.9</v>
      </c>
      <c r="E128" s="4">
        <v>5088.2</v>
      </c>
      <c r="F128" s="4">
        <v>4752.8999999999996</v>
      </c>
      <c r="G128" s="4">
        <v>3101.9</v>
      </c>
      <c r="H128" s="4">
        <v>1651</v>
      </c>
      <c r="I128" s="4">
        <v>6.5897566919539301</v>
      </c>
      <c r="J128" s="4">
        <v>143.091215635</v>
      </c>
      <c r="K128" s="4">
        <v>107.509539113717</v>
      </c>
      <c r="L128" s="4">
        <v>145.216720735254</v>
      </c>
      <c r="M128" s="4">
        <v>91.146001575354504</v>
      </c>
      <c r="N128" s="4">
        <v>129.46443475083399</v>
      </c>
      <c r="O128" s="4">
        <v>126.219143759633</v>
      </c>
      <c r="P128" s="4">
        <v>117.35943545155099</v>
      </c>
      <c r="Q128" s="4">
        <v>116.65848374310301</v>
      </c>
      <c r="R128" s="4">
        <v>117.211014330886</v>
      </c>
      <c r="S128" s="4">
        <v>116.466801912438</v>
      </c>
      <c r="T128" s="4">
        <v>169.26521083218299</v>
      </c>
      <c r="U128" s="4">
        <v>149.83235206399499</v>
      </c>
      <c r="V128" s="4">
        <v>83.961951775854004</v>
      </c>
      <c r="W128" s="4">
        <v>122.22958300000001</v>
      </c>
      <c r="X128" s="4">
        <v>3.4395099999999998</v>
      </c>
      <c r="Y128" s="4">
        <v>-1.4389841221475601</v>
      </c>
    </row>
    <row r="129" spans="1:25" x14ac:dyDescent="0.3">
      <c r="A129" s="3" t="s">
        <v>27</v>
      </c>
      <c r="B129" s="4">
        <v>2853.4</v>
      </c>
      <c r="C129" s="4">
        <v>453.9</v>
      </c>
      <c r="D129" s="4">
        <v>1452.3</v>
      </c>
      <c r="E129" s="4">
        <v>5112.3999999999996</v>
      </c>
      <c r="F129" s="4">
        <v>4759.6000000000004</v>
      </c>
      <c r="G129" s="4">
        <v>3101.2</v>
      </c>
      <c r="H129" s="4">
        <v>1658.4</v>
      </c>
      <c r="I129" s="4">
        <v>6.9008684766450203</v>
      </c>
      <c r="J129" s="4">
        <v>146.30482369022801</v>
      </c>
      <c r="K129" s="4">
        <v>102.67595283612999</v>
      </c>
      <c r="L129" s="4">
        <v>144.336811407624</v>
      </c>
      <c r="M129" s="4">
        <v>48.896655069703797</v>
      </c>
      <c r="N129" s="4">
        <v>136.34146787252499</v>
      </c>
      <c r="O129" s="4">
        <v>132.50025446306</v>
      </c>
      <c r="P129" s="4">
        <v>125.617495326483</v>
      </c>
      <c r="Q129" s="4">
        <v>115.21879185399401</v>
      </c>
      <c r="R129" s="4">
        <v>102.600464241325</v>
      </c>
      <c r="S129" s="4">
        <v>119.715573686585</v>
      </c>
      <c r="T129" s="4">
        <v>165.17102693688099</v>
      </c>
      <c r="U129" s="4">
        <v>161.090570655552</v>
      </c>
      <c r="V129" s="4">
        <v>85.523088824245903</v>
      </c>
      <c r="W129" s="4">
        <v>122.442374</v>
      </c>
      <c r="X129" s="4">
        <v>3.5078619047619002</v>
      </c>
      <c r="Y129" s="4">
        <v>-2.1829724628005001</v>
      </c>
    </row>
    <row r="130" spans="1:25" x14ac:dyDescent="0.3">
      <c r="A130" s="3" t="s">
        <v>28</v>
      </c>
      <c r="B130" s="4">
        <v>2837.5</v>
      </c>
      <c r="C130" s="4">
        <v>462.9</v>
      </c>
      <c r="D130" s="4">
        <v>1459.2</v>
      </c>
      <c r="E130" s="4">
        <v>5130.1000000000004</v>
      </c>
      <c r="F130" s="4">
        <v>4759.6000000000004</v>
      </c>
      <c r="G130" s="4">
        <v>3119.1</v>
      </c>
      <c r="H130" s="4">
        <v>1640.5</v>
      </c>
      <c r="I130" s="4">
        <v>7.22208144090758</v>
      </c>
      <c r="J130" s="4">
        <v>153.61944740735601</v>
      </c>
      <c r="K130" s="4">
        <v>124.58560995849599</v>
      </c>
      <c r="L130" s="4">
        <v>149.92452962348</v>
      </c>
      <c r="M130" s="4">
        <v>49.184487146557103</v>
      </c>
      <c r="N130" s="4">
        <v>150.08167347294901</v>
      </c>
      <c r="O130" s="4">
        <v>144.68992976262101</v>
      </c>
      <c r="P130" s="4">
        <v>144.40025583799701</v>
      </c>
      <c r="Q130" s="4">
        <v>116.33798913103099</v>
      </c>
      <c r="R130" s="4">
        <v>108.173838611376</v>
      </c>
      <c r="S130" s="4">
        <v>119.24644206404</v>
      </c>
      <c r="T130" s="4">
        <v>174.178191564576</v>
      </c>
      <c r="U130" s="4">
        <v>168.77392456037299</v>
      </c>
      <c r="V130" s="4">
        <v>89.9928309184331</v>
      </c>
      <c r="W130" s="4">
        <v>123.174724</v>
      </c>
      <c r="X130" s="4">
        <v>3.4087809523809498</v>
      </c>
      <c r="Y130" s="4">
        <v>-1.8028820264835601</v>
      </c>
    </row>
    <row r="131" spans="1:25" x14ac:dyDescent="0.3">
      <c r="A131" s="3" t="s">
        <v>29</v>
      </c>
      <c r="B131" s="4">
        <v>2857.1</v>
      </c>
      <c r="C131" s="4">
        <v>476.2</v>
      </c>
      <c r="D131" s="4">
        <v>1473.8</v>
      </c>
      <c r="E131" s="4">
        <v>5167.7</v>
      </c>
      <c r="F131" s="4">
        <v>4807</v>
      </c>
      <c r="G131" s="4">
        <v>3162.1</v>
      </c>
      <c r="H131" s="4">
        <v>1644.9</v>
      </c>
      <c r="I131" s="4">
        <v>6.9798943437118997</v>
      </c>
      <c r="J131" s="4">
        <v>156.27543924953</v>
      </c>
      <c r="K131" s="4">
        <v>182.68188575557099</v>
      </c>
      <c r="L131" s="4">
        <v>152.41269256517501</v>
      </c>
      <c r="M131" s="4">
        <v>49.941678839723998</v>
      </c>
      <c r="N131" s="4">
        <v>146.510304430795</v>
      </c>
      <c r="O131" s="4">
        <v>140.54197386058499</v>
      </c>
      <c r="P131" s="4">
        <v>144.31120315792</v>
      </c>
      <c r="Q131" s="4">
        <v>116.375401203031</v>
      </c>
      <c r="R131" s="4">
        <v>105.218181395036</v>
      </c>
      <c r="S131" s="4">
        <v>120.374766289669</v>
      </c>
      <c r="T131" s="4">
        <v>167.99644474094899</v>
      </c>
      <c r="U131" s="4">
        <v>172.77793778215701</v>
      </c>
      <c r="V131" s="4">
        <v>88.671601459762002</v>
      </c>
      <c r="W131" s="4">
        <v>123.188774</v>
      </c>
      <c r="X131" s="4">
        <v>3.3040619047619</v>
      </c>
      <c r="Y131" s="4">
        <v>1.24294947642502</v>
      </c>
    </row>
    <row r="132" spans="1:25" x14ac:dyDescent="0.3">
      <c r="A132" s="3" t="s">
        <v>30</v>
      </c>
      <c r="B132" s="4">
        <v>2786.7</v>
      </c>
      <c r="C132" s="4">
        <v>503.9</v>
      </c>
      <c r="D132" s="4">
        <v>1471.3</v>
      </c>
      <c r="E132" s="4">
        <v>5126.3999999999996</v>
      </c>
      <c r="F132" s="4">
        <v>4762</v>
      </c>
      <c r="G132" s="4">
        <v>3096.7</v>
      </c>
      <c r="H132" s="4">
        <v>1665.3</v>
      </c>
      <c r="I132" s="4">
        <v>7.1083021223470704</v>
      </c>
      <c r="J132" s="4">
        <v>157.49965373029701</v>
      </c>
      <c r="K132" s="4">
        <v>216.48096836062399</v>
      </c>
      <c r="L132" s="4">
        <v>159.60300310895701</v>
      </c>
      <c r="M132" s="4">
        <v>51.499327630628798</v>
      </c>
      <c r="N132" s="4">
        <v>160.065960353816</v>
      </c>
      <c r="O132" s="4">
        <v>153.696183217585</v>
      </c>
      <c r="P132" s="4">
        <v>156.453744510185</v>
      </c>
      <c r="Q132" s="4">
        <v>119.07998708717599</v>
      </c>
      <c r="R132" s="4">
        <v>116.140412390751</v>
      </c>
      <c r="S132" s="4">
        <v>120.34846703467601</v>
      </c>
      <c r="T132" s="4">
        <v>169.70075260565301</v>
      </c>
      <c r="U132" s="4">
        <v>169.03154482321</v>
      </c>
      <c r="V132" s="4">
        <v>88.101226234707994</v>
      </c>
      <c r="W132" s="4">
        <v>123.446933</v>
      </c>
      <c r="X132" s="4">
        <v>3.3362590909090901</v>
      </c>
      <c r="Y132" s="4">
        <v>-1.1668330708191701</v>
      </c>
    </row>
    <row r="133" spans="1:25" x14ac:dyDescent="0.3">
      <c r="A133" s="3" t="s">
        <v>31</v>
      </c>
      <c r="B133" s="4">
        <v>2807.8</v>
      </c>
      <c r="C133" s="4">
        <v>481.5</v>
      </c>
      <c r="D133" s="4">
        <v>1459.2</v>
      </c>
      <c r="E133" s="4">
        <v>5104.7</v>
      </c>
      <c r="F133" s="4">
        <v>4748.5</v>
      </c>
      <c r="G133" s="4">
        <v>3082.1</v>
      </c>
      <c r="H133" s="4">
        <v>1666.4</v>
      </c>
      <c r="I133" s="4">
        <v>6.9778831273140396</v>
      </c>
      <c r="J133" s="4">
        <v>155.98577385178899</v>
      </c>
      <c r="K133" s="4">
        <v>199.026651824948</v>
      </c>
      <c r="L133" s="4">
        <v>160.084756064863</v>
      </c>
      <c r="M133" s="4">
        <v>83.560439386283406</v>
      </c>
      <c r="N133" s="4">
        <v>153.84867422919001</v>
      </c>
      <c r="O133" s="4">
        <v>150.22693926773999</v>
      </c>
      <c r="P133" s="4">
        <v>136.48780905826399</v>
      </c>
      <c r="Q133" s="4">
        <v>122.949004940355</v>
      </c>
      <c r="R133" s="4">
        <v>132.54631125656701</v>
      </c>
      <c r="S133" s="4">
        <v>119.64909786598101</v>
      </c>
      <c r="T133" s="4">
        <v>162.68959906928299</v>
      </c>
      <c r="U133" s="4">
        <v>165.599500389665</v>
      </c>
      <c r="V133" s="4">
        <v>87.718613850401695</v>
      </c>
      <c r="W133" s="4">
        <v>123.619152</v>
      </c>
      <c r="X133" s="4">
        <v>3.3185952380952402</v>
      </c>
      <c r="Y133" s="4">
        <v>0.38095038717883101</v>
      </c>
    </row>
    <row r="134" spans="1:25" x14ac:dyDescent="0.3">
      <c r="A134" s="3" t="s">
        <v>32</v>
      </c>
      <c r="B134" s="4">
        <v>2753.1</v>
      </c>
      <c r="C134" s="4">
        <v>494.2</v>
      </c>
      <c r="D134" s="4">
        <v>1479.5</v>
      </c>
      <c r="E134" s="4">
        <v>5088.1000000000004</v>
      </c>
      <c r="F134" s="4">
        <v>4726.8</v>
      </c>
      <c r="G134" s="4">
        <v>3068.7</v>
      </c>
      <c r="H134" s="4">
        <v>1658.1</v>
      </c>
      <c r="I134" s="4">
        <v>7.1008824512096904</v>
      </c>
      <c r="J134" s="4">
        <v>158.752598273969</v>
      </c>
      <c r="K134" s="4">
        <v>137.56249548119001</v>
      </c>
      <c r="L134" s="4">
        <v>165.67502622705001</v>
      </c>
      <c r="M134" s="4">
        <v>120.316968135911</v>
      </c>
      <c r="N134" s="4">
        <v>155.726077014846</v>
      </c>
      <c r="O134" s="4">
        <v>148.786515431476</v>
      </c>
      <c r="P134" s="4">
        <v>155.84180467221901</v>
      </c>
      <c r="Q134" s="4">
        <v>125.200102709578</v>
      </c>
      <c r="R134" s="4">
        <v>148.19663723650501</v>
      </c>
      <c r="S134" s="4">
        <v>116.970607021598</v>
      </c>
      <c r="T134" s="4">
        <v>167.544825069529</v>
      </c>
      <c r="U134" s="4">
        <v>171.92446793545699</v>
      </c>
      <c r="V134" s="4">
        <v>91.766695211289303</v>
      </c>
      <c r="W134" s="4">
        <v>123.720207</v>
      </c>
      <c r="X134" s="4">
        <v>3.3012105263157898</v>
      </c>
      <c r="Y134" s="4">
        <v>7.6963123316465296</v>
      </c>
    </row>
    <row r="135" spans="1:25" x14ac:dyDescent="0.3">
      <c r="A135" s="3" t="s">
        <v>33</v>
      </c>
      <c r="B135" s="4">
        <v>2757.3</v>
      </c>
      <c r="C135" s="4">
        <v>500.2</v>
      </c>
      <c r="D135" s="4">
        <v>1476.7</v>
      </c>
      <c r="E135" s="4">
        <v>5080.2</v>
      </c>
      <c r="F135" s="4">
        <v>4734.2</v>
      </c>
      <c r="G135" s="4">
        <v>3080.7</v>
      </c>
      <c r="H135" s="4">
        <v>1653.5</v>
      </c>
      <c r="I135" s="4">
        <v>6.8107554820676404</v>
      </c>
      <c r="J135" s="4">
        <v>158.11861129270901</v>
      </c>
      <c r="K135" s="4">
        <v>107.15246034904401</v>
      </c>
      <c r="L135" s="4">
        <v>161.47663348151499</v>
      </c>
      <c r="M135" s="4">
        <v>65.867455464169396</v>
      </c>
      <c r="N135" s="4">
        <v>157.58993899463101</v>
      </c>
      <c r="O135" s="4">
        <v>151.07889998619501</v>
      </c>
      <c r="P135" s="4">
        <v>154.70425405269901</v>
      </c>
      <c r="Q135" s="4">
        <v>123.62701257533401</v>
      </c>
      <c r="R135" s="4">
        <v>121.265213085388</v>
      </c>
      <c r="S135" s="4">
        <v>124.41786678296801</v>
      </c>
      <c r="T135" s="4">
        <v>169.44741224338301</v>
      </c>
      <c r="U135" s="4">
        <v>177.98286462009401</v>
      </c>
      <c r="V135" s="4">
        <v>90.214551695723401</v>
      </c>
      <c r="W135" s="4">
        <v>124.163479</v>
      </c>
      <c r="X135" s="4">
        <v>3.3354499999999998</v>
      </c>
      <c r="Y135" s="4">
        <v>-3.1938584083374799</v>
      </c>
    </row>
    <row r="136" spans="1:25" x14ac:dyDescent="0.3">
      <c r="A136" s="3" t="s">
        <v>34</v>
      </c>
      <c r="B136" s="4">
        <v>2761.5</v>
      </c>
      <c r="C136" s="4">
        <v>496</v>
      </c>
      <c r="D136" s="4">
        <v>1478.8</v>
      </c>
      <c r="E136" s="4">
        <v>5066</v>
      </c>
      <c r="F136" s="4">
        <v>4736.3</v>
      </c>
      <c r="G136" s="4">
        <v>3064.1</v>
      </c>
      <c r="H136" s="4">
        <v>1672.2</v>
      </c>
      <c r="I136" s="4">
        <v>6.5080931701539697</v>
      </c>
      <c r="J136" s="4">
        <v>158.852969567679</v>
      </c>
      <c r="K136" s="4">
        <v>96.895778226741996</v>
      </c>
      <c r="L136" s="4">
        <v>152.65564864696901</v>
      </c>
      <c r="M136" s="4">
        <v>49.8986700198178</v>
      </c>
      <c r="N136" s="4">
        <v>149.77079504507901</v>
      </c>
      <c r="O136" s="4">
        <v>145.666361493522</v>
      </c>
      <c r="P136" s="4">
        <v>135.84047221200299</v>
      </c>
      <c r="Q136" s="4">
        <v>124.256625115674</v>
      </c>
      <c r="R136" s="4">
        <v>110.91368624795</v>
      </c>
      <c r="S136" s="4">
        <v>128.99711757911101</v>
      </c>
      <c r="T136" s="4">
        <v>165.88898279494299</v>
      </c>
      <c r="U136" s="4">
        <v>178.23774250419299</v>
      </c>
      <c r="V136" s="4">
        <v>91.552792810773695</v>
      </c>
      <c r="W136" s="4">
        <v>124.419832</v>
      </c>
      <c r="X136" s="4">
        <v>3.3840181818181798</v>
      </c>
      <c r="Y136" s="4">
        <v>-0.104133345282615</v>
      </c>
    </row>
    <row r="137" spans="1:25" x14ac:dyDescent="0.3">
      <c r="A137" s="3" t="s">
        <v>35</v>
      </c>
      <c r="B137" s="4">
        <v>2839.3</v>
      </c>
      <c r="C137" s="4">
        <v>475.7</v>
      </c>
      <c r="D137" s="4">
        <v>1468.6</v>
      </c>
      <c r="E137" s="4">
        <v>5099.8</v>
      </c>
      <c r="F137" s="4">
        <v>4783.7</v>
      </c>
      <c r="G137" s="4">
        <v>3101.5</v>
      </c>
      <c r="H137" s="4">
        <v>1682.2</v>
      </c>
      <c r="I137" s="4">
        <v>6.1982822855798299</v>
      </c>
      <c r="J137" s="4">
        <v>159.12182875446101</v>
      </c>
      <c r="K137" s="4">
        <v>109.53410954993601</v>
      </c>
      <c r="L137" s="4">
        <v>152.613288257813</v>
      </c>
      <c r="M137" s="4">
        <v>50.765145122161599</v>
      </c>
      <c r="N137" s="4">
        <v>162.22036328477299</v>
      </c>
      <c r="O137" s="4">
        <v>158.441792662984</v>
      </c>
      <c r="P137" s="4">
        <v>143.099703722382</v>
      </c>
      <c r="Q137" s="4">
        <v>122.105996734474</v>
      </c>
      <c r="R137" s="4">
        <v>107.250338275351</v>
      </c>
      <c r="S137" s="4">
        <v>127.37560697380501</v>
      </c>
      <c r="T137" s="4">
        <v>171.88860709759601</v>
      </c>
      <c r="U137" s="4">
        <v>173.29995377681701</v>
      </c>
      <c r="V137" s="4">
        <v>90.183279933035394</v>
      </c>
      <c r="W137" s="4">
        <v>124.934127</v>
      </c>
      <c r="X137" s="4">
        <v>3.3873809523809499</v>
      </c>
      <c r="Y137" s="4">
        <v>0.66924946803913199</v>
      </c>
    </row>
    <row r="138" spans="1:25" x14ac:dyDescent="0.3">
      <c r="A138" s="3" t="s">
        <v>36</v>
      </c>
      <c r="B138" s="4">
        <v>2880.6</v>
      </c>
      <c r="C138" s="4">
        <v>478.9</v>
      </c>
      <c r="D138" s="4">
        <v>1467.8</v>
      </c>
      <c r="E138" s="4">
        <v>5126.3999999999996</v>
      </c>
      <c r="F138" s="4">
        <v>4827.2</v>
      </c>
      <c r="G138" s="4">
        <v>3140.4</v>
      </c>
      <c r="H138" s="4">
        <v>1686.8</v>
      </c>
      <c r="I138" s="4">
        <v>5.8364544319600498</v>
      </c>
      <c r="J138" s="4">
        <v>158.81373317526501</v>
      </c>
      <c r="K138" s="4">
        <v>121.763948177773</v>
      </c>
      <c r="L138" s="4">
        <v>151.874792922376</v>
      </c>
      <c r="M138" s="4">
        <v>103.045165170369</v>
      </c>
      <c r="N138" s="4">
        <v>154.45337015566901</v>
      </c>
      <c r="O138" s="4">
        <v>149.00954307372899</v>
      </c>
      <c r="P138" s="4">
        <v>146.10270142502199</v>
      </c>
      <c r="Q138" s="4">
        <v>130.15278161125099</v>
      </c>
      <c r="R138" s="4">
        <v>134.17370733546301</v>
      </c>
      <c r="S138" s="4">
        <v>128.67395504579801</v>
      </c>
      <c r="T138" s="4">
        <v>169.184383542765</v>
      </c>
      <c r="U138" s="4">
        <v>185.99130526162801</v>
      </c>
      <c r="V138" s="4">
        <v>94.475173501154302</v>
      </c>
      <c r="W138" s="4">
        <v>125.296516</v>
      </c>
      <c r="X138" s="4">
        <v>3.4051421052631601</v>
      </c>
      <c r="Y138" s="4">
        <v>-0.617455760352148</v>
      </c>
    </row>
    <row r="139" spans="1:25" x14ac:dyDescent="0.3">
      <c r="A139" s="3" t="s">
        <v>37</v>
      </c>
      <c r="B139" s="4">
        <v>2911.7</v>
      </c>
      <c r="C139" s="4">
        <v>492.7</v>
      </c>
      <c r="D139" s="4">
        <v>1469.1</v>
      </c>
      <c r="E139" s="4">
        <v>5198.1000000000004</v>
      </c>
      <c r="F139" s="4">
        <v>4873.5</v>
      </c>
      <c r="G139" s="4">
        <v>3142.8</v>
      </c>
      <c r="H139" s="4">
        <v>1730.7</v>
      </c>
      <c r="I139" s="4">
        <v>6.2445893691925898</v>
      </c>
      <c r="J139" s="4">
        <v>176.29890426127599</v>
      </c>
      <c r="K139" s="4">
        <v>113.317322156302</v>
      </c>
      <c r="L139" s="4">
        <v>158.97973763739901</v>
      </c>
      <c r="M139" s="4">
        <v>167.70778602158299</v>
      </c>
      <c r="N139" s="4">
        <v>159.798320569542</v>
      </c>
      <c r="O139" s="4">
        <v>154.40893753155001</v>
      </c>
      <c r="P139" s="4">
        <v>149.92744286641599</v>
      </c>
      <c r="Q139" s="4">
        <v>140.42071310198099</v>
      </c>
      <c r="R139" s="4">
        <v>171.293291164142</v>
      </c>
      <c r="S139" s="4">
        <v>129.397670944422</v>
      </c>
      <c r="T139" s="4">
        <v>175.69963620619299</v>
      </c>
      <c r="U139" s="4">
        <v>268.11171661215599</v>
      </c>
      <c r="V139" s="4">
        <v>96.0019712108937</v>
      </c>
      <c r="W139" s="4">
        <v>125.71525099999999</v>
      </c>
      <c r="X139" s="4">
        <v>3.3974619047618999</v>
      </c>
      <c r="Y139" s="4">
        <v>7.5132043756368896</v>
      </c>
    </row>
    <row r="140" spans="1:25" x14ac:dyDescent="0.3">
      <c r="A140" s="3" t="s">
        <v>38</v>
      </c>
      <c r="B140" s="4">
        <v>2875.8</v>
      </c>
      <c r="C140" s="4">
        <v>483.7</v>
      </c>
      <c r="D140" s="4">
        <v>1472.1</v>
      </c>
      <c r="E140" s="4">
        <v>5206.2</v>
      </c>
      <c r="F140" s="4">
        <v>4831.6000000000004</v>
      </c>
      <c r="G140" s="4">
        <v>3105.5</v>
      </c>
      <c r="H140" s="4">
        <v>1726.1</v>
      </c>
      <c r="I140" s="4">
        <v>7.1952671814375204</v>
      </c>
      <c r="J140" s="4">
        <v>150.31568160704199</v>
      </c>
      <c r="K140" s="4">
        <v>105.894272103913</v>
      </c>
      <c r="L140" s="4">
        <v>155.19084090336801</v>
      </c>
      <c r="M140" s="4">
        <v>129.58225299477201</v>
      </c>
      <c r="N140" s="4">
        <v>148.95407400656899</v>
      </c>
      <c r="O140" s="4">
        <v>144.25719706169701</v>
      </c>
      <c r="P140" s="4">
        <v>140.26917337766201</v>
      </c>
      <c r="Q140" s="4">
        <v>124.612358404714</v>
      </c>
      <c r="R140" s="4">
        <v>140.36165690161801</v>
      </c>
      <c r="S140" s="4">
        <v>118.952041394434</v>
      </c>
      <c r="T140" s="4">
        <v>179.07835449306501</v>
      </c>
      <c r="U140" s="4">
        <v>141.801337993365</v>
      </c>
      <c r="V140" s="4">
        <v>91.594161155495996</v>
      </c>
      <c r="W140" s="4">
        <v>126.014256</v>
      </c>
      <c r="X140" s="4">
        <v>3.3423045454545499</v>
      </c>
      <c r="Y140" s="4">
        <v>-3.6585356042994799</v>
      </c>
    </row>
    <row r="141" spans="1:25" x14ac:dyDescent="0.3">
      <c r="A141" s="3" t="s">
        <v>39</v>
      </c>
      <c r="B141" s="4">
        <v>2881.2</v>
      </c>
      <c r="C141" s="4">
        <v>468.3</v>
      </c>
      <c r="D141" s="4">
        <v>1455.6</v>
      </c>
      <c r="E141" s="4">
        <v>5208.1000000000004</v>
      </c>
      <c r="F141" s="4">
        <v>4805.1000000000004</v>
      </c>
      <c r="G141" s="4">
        <v>3101.6</v>
      </c>
      <c r="H141" s="4">
        <v>1703.5</v>
      </c>
      <c r="I141" s="4">
        <v>7.7379466600103699</v>
      </c>
      <c r="J141" s="4">
        <v>147.49668588301901</v>
      </c>
      <c r="K141" s="4">
        <v>98.916032975003205</v>
      </c>
      <c r="L141" s="4">
        <v>148.21765544236101</v>
      </c>
      <c r="M141" s="4">
        <v>63.853361271956899</v>
      </c>
      <c r="N141" s="4">
        <v>138.52811216340399</v>
      </c>
      <c r="O141" s="4">
        <v>134.708339724073</v>
      </c>
      <c r="P141" s="4">
        <v>127.180162064895</v>
      </c>
      <c r="Q141" s="4">
        <v>112.389605359323</v>
      </c>
      <c r="R141" s="4">
        <v>110.03820053176101</v>
      </c>
      <c r="S141" s="4">
        <v>113.21759077095599</v>
      </c>
      <c r="T141" s="4">
        <v>161.95965977008501</v>
      </c>
      <c r="U141" s="4">
        <v>149.57259485367999</v>
      </c>
      <c r="V141" s="4">
        <v>93.5468089271248</v>
      </c>
      <c r="W141" s="4">
        <v>126.421498</v>
      </c>
      <c r="X141" s="4">
        <v>3.2616000000000001</v>
      </c>
      <c r="Y141" s="4">
        <v>-1.42807092699391</v>
      </c>
    </row>
    <row r="142" spans="1:25" x14ac:dyDescent="0.3">
      <c r="A142" s="3" t="s">
        <v>40</v>
      </c>
      <c r="B142" s="4">
        <v>2881.4</v>
      </c>
      <c r="C142" s="4">
        <v>468.2</v>
      </c>
      <c r="D142" s="4">
        <v>1435.5</v>
      </c>
      <c r="E142" s="4">
        <v>5186.2</v>
      </c>
      <c r="F142" s="4">
        <v>4785.1000000000004</v>
      </c>
      <c r="G142" s="4">
        <v>3103</v>
      </c>
      <c r="H142" s="4">
        <v>1682.1</v>
      </c>
      <c r="I142" s="4">
        <v>7.7339863483861002</v>
      </c>
      <c r="J142" s="4">
        <v>155.40951350201601</v>
      </c>
      <c r="K142" s="4">
        <v>117.879566434783</v>
      </c>
      <c r="L142" s="4">
        <v>155.349398415667</v>
      </c>
      <c r="M142" s="4">
        <v>67.526238626134599</v>
      </c>
      <c r="N142" s="4">
        <v>146.267526565785</v>
      </c>
      <c r="O142" s="4">
        <v>141.06806429224099</v>
      </c>
      <c r="P142" s="4">
        <v>140.429187230732</v>
      </c>
      <c r="Q142" s="4">
        <v>119.362838938306</v>
      </c>
      <c r="R142" s="4">
        <v>113.254310299303</v>
      </c>
      <c r="S142" s="4">
        <v>121.53667341563499</v>
      </c>
      <c r="T142" s="4">
        <v>173.13903448790401</v>
      </c>
      <c r="U142" s="4">
        <v>161.90482583076599</v>
      </c>
      <c r="V142" s="4">
        <v>95.550908817722203</v>
      </c>
      <c r="W142" s="4">
        <v>128.07074</v>
      </c>
      <c r="X142" s="4">
        <v>3.2656999999999998</v>
      </c>
      <c r="Y142" s="4">
        <v>-0.95874364756349995</v>
      </c>
    </row>
    <row r="143" spans="1:25" x14ac:dyDescent="0.3">
      <c r="A143" s="3" t="s">
        <v>41</v>
      </c>
      <c r="B143" s="4">
        <v>2924.1</v>
      </c>
      <c r="C143" s="4">
        <v>478.8</v>
      </c>
      <c r="D143" s="4">
        <v>1428.7</v>
      </c>
      <c r="E143" s="4">
        <v>5185.1000000000004</v>
      </c>
      <c r="F143" s="4">
        <v>4831.5</v>
      </c>
      <c r="G143" s="4">
        <v>3064</v>
      </c>
      <c r="H143" s="4">
        <v>1767.5</v>
      </c>
      <c r="I143" s="4">
        <v>6.8195406067385402</v>
      </c>
      <c r="J143" s="4">
        <v>156.75624552304899</v>
      </c>
      <c r="K143" s="4">
        <v>177.43695618511899</v>
      </c>
      <c r="L143" s="4">
        <v>158.06318901217699</v>
      </c>
      <c r="M143" s="4">
        <v>100.387862603541</v>
      </c>
      <c r="N143" s="4">
        <v>146.767859313429</v>
      </c>
      <c r="O143" s="4">
        <v>143.45583446120801</v>
      </c>
      <c r="P143" s="4">
        <v>130.04804078596001</v>
      </c>
      <c r="Q143" s="4">
        <v>113.730335945221</v>
      </c>
      <c r="R143" s="4">
        <v>124.90194224281301</v>
      </c>
      <c r="S143" s="4">
        <v>109.731037130072</v>
      </c>
      <c r="T143" s="4">
        <v>166.41114679147501</v>
      </c>
      <c r="U143" s="4">
        <v>158.16092424578699</v>
      </c>
      <c r="V143" s="4">
        <v>92.086739416159105</v>
      </c>
      <c r="W143" s="4">
        <v>127.74024900000001</v>
      </c>
      <c r="X143" s="4">
        <v>3.2494111111111099</v>
      </c>
      <c r="Y143" s="4">
        <v>1.3088076598154399</v>
      </c>
    </row>
    <row r="144" spans="1:25" x14ac:dyDescent="0.3">
      <c r="A144" s="3" t="s">
        <v>42</v>
      </c>
      <c r="B144" s="4">
        <v>2899.7</v>
      </c>
      <c r="C144" s="4">
        <v>508.1</v>
      </c>
      <c r="D144" s="4">
        <v>1402.3</v>
      </c>
      <c r="E144" s="4">
        <v>5150.2</v>
      </c>
      <c r="F144" s="4">
        <v>4810.1000000000004</v>
      </c>
      <c r="G144" s="4">
        <v>3041.3</v>
      </c>
      <c r="H144" s="4">
        <v>1768.8</v>
      </c>
      <c r="I144" s="4">
        <v>6.6036270436099596</v>
      </c>
      <c r="J144" s="4">
        <v>163.241402220255</v>
      </c>
      <c r="K144" s="4">
        <v>205.59694264757999</v>
      </c>
      <c r="L144" s="4">
        <v>158.085143896701</v>
      </c>
      <c r="M144" s="4">
        <v>195.90395326787501</v>
      </c>
      <c r="N144" s="4">
        <v>159.33497275411901</v>
      </c>
      <c r="O144" s="4">
        <v>156.607653792023</v>
      </c>
      <c r="P144" s="4">
        <v>136.078514818569</v>
      </c>
      <c r="Q144" s="4">
        <v>134.126877873236</v>
      </c>
      <c r="R144" s="4">
        <v>171.77484071589799</v>
      </c>
      <c r="S144" s="4">
        <v>120.646908421815</v>
      </c>
      <c r="T144" s="4">
        <v>174.31113082116201</v>
      </c>
      <c r="U144" s="4">
        <v>162.23647672131699</v>
      </c>
      <c r="V144" s="4">
        <v>93.189644289131294</v>
      </c>
      <c r="W144" s="4">
        <v>127.199476</v>
      </c>
      <c r="X144" s="4">
        <v>3.2758363636363601</v>
      </c>
      <c r="Y144" s="4">
        <v>-0.607848032631081</v>
      </c>
    </row>
    <row r="145" spans="1:25" x14ac:dyDescent="0.3">
      <c r="A145" s="3" t="s">
        <v>43</v>
      </c>
      <c r="B145" s="4">
        <v>2886.8</v>
      </c>
      <c r="C145" s="4">
        <v>492.4</v>
      </c>
      <c r="D145" s="4">
        <v>1433.9</v>
      </c>
      <c r="E145" s="4">
        <v>5171.1000000000004</v>
      </c>
      <c r="F145" s="4">
        <v>4813</v>
      </c>
      <c r="G145" s="4">
        <v>3057.8</v>
      </c>
      <c r="H145" s="4">
        <v>1755.2</v>
      </c>
      <c r="I145" s="4">
        <v>6.9250256231749496</v>
      </c>
      <c r="J145" s="4">
        <v>162.17019953517899</v>
      </c>
      <c r="K145" s="4">
        <v>217.358233155378</v>
      </c>
      <c r="L145" s="4">
        <v>159.31842327098599</v>
      </c>
      <c r="M145" s="4">
        <v>127.030868402476</v>
      </c>
      <c r="N145" s="4">
        <v>163.73298158362999</v>
      </c>
      <c r="O145" s="4">
        <v>160.85632372327501</v>
      </c>
      <c r="P145" s="4">
        <v>139.931006734726</v>
      </c>
      <c r="Q145" s="4">
        <v>127.016813532084</v>
      </c>
      <c r="R145" s="4">
        <v>154.39777058754501</v>
      </c>
      <c r="S145" s="4">
        <v>117.30362201285899</v>
      </c>
      <c r="T145" s="4">
        <v>167.70489648601</v>
      </c>
      <c r="U145" s="4">
        <v>171.047723952485</v>
      </c>
      <c r="V145" s="4">
        <v>92.758413867182497</v>
      </c>
      <c r="W145" s="4">
        <v>126.996976</v>
      </c>
      <c r="X145" s="4">
        <v>3.2705150000000001</v>
      </c>
      <c r="Y145" s="4">
        <v>7.0364672828953603E-2</v>
      </c>
    </row>
    <row r="146" spans="1:25" x14ac:dyDescent="0.3">
      <c r="A146" s="3" t="s">
        <v>44</v>
      </c>
      <c r="B146" s="4">
        <v>2911.8</v>
      </c>
      <c r="C146" s="4">
        <v>477.6</v>
      </c>
      <c r="D146" s="4">
        <v>1436.2</v>
      </c>
      <c r="E146" s="4">
        <v>5192.3</v>
      </c>
      <c r="F146" s="4">
        <v>4825.6000000000004</v>
      </c>
      <c r="G146" s="4">
        <v>3093.6</v>
      </c>
      <c r="H146" s="4">
        <v>1732</v>
      </c>
      <c r="I146" s="4">
        <v>7.0623808331567899</v>
      </c>
      <c r="J146" s="4">
        <v>162.27189585008099</v>
      </c>
      <c r="K146" s="4">
        <v>163.81319612775101</v>
      </c>
      <c r="L146" s="4">
        <v>168.89095753954101</v>
      </c>
      <c r="M146" s="4">
        <v>60.845556437998702</v>
      </c>
      <c r="N146" s="4">
        <v>159.36710057836899</v>
      </c>
      <c r="O146" s="4">
        <v>156.087642147282</v>
      </c>
      <c r="P146" s="4">
        <v>138.67416147208201</v>
      </c>
      <c r="Q146" s="4">
        <v>119.565428137636</v>
      </c>
      <c r="R146" s="4">
        <v>124.29990083885301</v>
      </c>
      <c r="S146" s="4">
        <v>117.941065959418</v>
      </c>
      <c r="T146" s="4">
        <v>169.88872086228</v>
      </c>
      <c r="U146" s="4">
        <v>178.47479016379799</v>
      </c>
      <c r="V146" s="4">
        <v>94.130525378745105</v>
      </c>
      <c r="W146" s="4">
        <v>127.24879300000001</v>
      </c>
      <c r="X146" s="4">
        <v>3.2512736842105299</v>
      </c>
      <c r="Y146" s="4">
        <v>4.8144392399780704</v>
      </c>
    </row>
    <row r="147" spans="1:25" x14ac:dyDescent="0.3">
      <c r="A147" s="3" t="s">
        <v>45</v>
      </c>
      <c r="B147" s="4">
        <v>2940.5</v>
      </c>
      <c r="C147" s="4">
        <v>474.7</v>
      </c>
      <c r="D147" s="4">
        <v>1485.2</v>
      </c>
      <c r="E147" s="4">
        <v>5251.1</v>
      </c>
      <c r="F147" s="4">
        <v>4900.5</v>
      </c>
      <c r="G147" s="4">
        <v>3104.8</v>
      </c>
      <c r="H147" s="4">
        <v>1795.7</v>
      </c>
      <c r="I147" s="4">
        <v>6.6766963112490698</v>
      </c>
      <c r="J147" s="4">
        <v>162.648201868668</v>
      </c>
      <c r="K147" s="4">
        <v>108.678597278246</v>
      </c>
      <c r="L147" s="4">
        <v>164.58011430012201</v>
      </c>
      <c r="M147" s="4">
        <v>39.2024195620548</v>
      </c>
      <c r="N147" s="4">
        <v>163.680973734475</v>
      </c>
      <c r="O147" s="4">
        <v>158.14975010277701</v>
      </c>
      <c r="P147" s="4">
        <v>153.98107262784299</v>
      </c>
      <c r="Q147" s="4">
        <v>124.329870558612</v>
      </c>
      <c r="R147" s="4">
        <v>112.499563175327</v>
      </c>
      <c r="S147" s="4">
        <v>128.51365746833901</v>
      </c>
      <c r="T147" s="4">
        <v>172.619689857434</v>
      </c>
      <c r="U147" s="4">
        <v>186.33026097077601</v>
      </c>
      <c r="V147" s="4">
        <v>97.846954139648304</v>
      </c>
      <c r="W147" s="4">
        <v>128.10419200000001</v>
      </c>
      <c r="X147" s="4">
        <v>3.2437818181818199</v>
      </c>
      <c r="Y147" s="4">
        <v>-1.7616540572014301</v>
      </c>
    </row>
    <row r="148" spans="1:25" x14ac:dyDescent="0.3">
      <c r="A148" s="3" t="s">
        <v>46</v>
      </c>
      <c r="B148" s="4">
        <v>2968</v>
      </c>
      <c r="C148" s="4">
        <v>487.3</v>
      </c>
      <c r="D148" s="4">
        <v>1438.8</v>
      </c>
      <c r="E148" s="4">
        <v>5230.3</v>
      </c>
      <c r="F148" s="4">
        <v>4894.1000000000004</v>
      </c>
      <c r="G148" s="4">
        <v>3087.8</v>
      </c>
      <c r="H148" s="4">
        <v>1806.3</v>
      </c>
      <c r="I148" s="4">
        <v>6.42792956426974</v>
      </c>
      <c r="J148" s="4">
        <v>164.17365785300299</v>
      </c>
      <c r="K148" s="4">
        <v>101.943654667529</v>
      </c>
      <c r="L148" s="4">
        <v>160.16424063154801</v>
      </c>
      <c r="M148" s="4">
        <v>34.9489470910314</v>
      </c>
      <c r="N148" s="4">
        <v>160.992471474702</v>
      </c>
      <c r="O148" s="4">
        <v>159.55249186150601</v>
      </c>
      <c r="P148" s="4">
        <v>129.87188022133699</v>
      </c>
      <c r="Q148" s="4">
        <v>122.72880602560301</v>
      </c>
      <c r="R148" s="4">
        <v>107.58436869402099</v>
      </c>
      <c r="S148" s="4">
        <v>128.11421500946901</v>
      </c>
      <c r="T148" s="4">
        <v>168.779770733216</v>
      </c>
      <c r="U148" s="4">
        <v>194.403905749324</v>
      </c>
      <c r="V148" s="4">
        <v>100.504606211002</v>
      </c>
      <c r="W148" s="4">
        <v>128.08399</v>
      </c>
      <c r="X148" s="4">
        <v>3.2476523809523798</v>
      </c>
      <c r="Y148" s="4">
        <v>0.87526411538642701</v>
      </c>
    </row>
    <row r="149" spans="1:25" x14ac:dyDescent="0.3">
      <c r="A149" s="3" t="s">
        <v>47</v>
      </c>
      <c r="B149" s="4">
        <v>2949.7</v>
      </c>
      <c r="C149" s="4">
        <v>492.3</v>
      </c>
      <c r="D149" s="4">
        <v>1430</v>
      </c>
      <c r="E149" s="4">
        <v>5194</v>
      </c>
      <c r="F149" s="4">
        <v>4872</v>
      </c>
      <c r="G149" s="4">
        <v>3119.6</v>
      </c>
      <c r="H149" s="4">
        <v>1752.4</v>
      </c>
      <c r="I149" s="4">
        <v>6.1994609164420504</v>
      </c>
      <c r="J149" s="4">
        <v>164.85621643264</v>
      </c>
      <c r="K149" s="4">
        <v>106.80720717534901</v>
      </c>
      <c r="L149" s="4">
        <v>159.13451695169201</v>
      </c>
      <c r="M149" s="4">
        <v>44.455996135592002</v>
      </c>
      <c r="N149" s="4">
        <v>160.410684385103</v>
      </c>
      <c r="O149" s="4">
        <v>156.612919563948</v>
      </c>
      <c r="P149" s="4">
        <v>141.83657491758399</v>
      </c>
      <c r="Q149" s="4">
        <v>125.787577111837</v>
      </c>
      <c r="R149" s="4">
        <v>110.311177425712</v>
      </c>
      <c r="S149" s="4">
        <v>131.27870334718901</v>
      </c>
      <c r="T149" s="4">
        <v>173.65319644844399</v>
      </c>
      <c r="U149" s="4">
        <v>201.51318625168301</v>
      </c>
      <c r="V149" s="4">
        <v>102.041406691125</v>
      </c>
      <c r="W149" s="4">
        <v>127.482962</v>
      </c>
      <c r="X149" s="4">
        <v>3.25302727272727</v>
      </c>
      <c r="Y149" s="4">
        <v>0.35861134367990799</v>
      </c>
    </row>
    <row r="150" spans="1:25" x14ac:dyDescent="0.3">
      <c r="A150" s="3" t="s">
        <v>48</v>
      </c>
      <c r="B150" s="4">
        <v>2932.2</v>
      </c>
      <c r="C150" s="4">
        <v>479.4</v>
      </c>
      <c r="D150" s="4">
        <v>1436.6</v>
      </c>
      <c r="E150" s="4">
        <v>5188.6000000000004</v>
      </c>
      <c r="F150" s="4">
        <v>4848.2</v>
      </c>
      <c r="G150" s="4">
        <v>3126.2</v>
      </c>
      <c r="H150" s="4">
        <v>1722</v>
      </c>
      <c r="I150" s="4">
        <v>6.5605365609220199</v>
      </c>
      <c r="J150" s="4">
        <v>162.01848648547201</v>
      </c>
      <c r="K150" s="4">
        <v>119.4273623261</v>
      </c>
      <c r="L150" s="4">
        <v>157.58076563295</v>
      </c>
      <c r="M150" s="4">
        <v>56.0105761320197</v>
      </c>
      <c r="N150" s="4">
        <v>160.606524546836</v>
      </c>
      <c r="O150" s="4">
        <v>157.03580046391599</v>
      </c>
      <c r="P150" s="4">
        <v>140.55488158990701</v>
      </c>
      <c r="Q150" s="4">
        <v>122.89431240341899</v>
      </c>
      <c r="R150" s="4">
        <v>111.028279641976</v>
      </c>
      <c r="S150" s="4">
        <v>127.099514947248</v>
      </c>
      <c r="T150" s="4">
        <v>169.61843958579499</v>
      </c>
      <c r="U150" s="4">
        <v>196.12783139838601</v>
      </c>
      <c r="V150" s="4">
        <v>103.576560618458</v>
      </c>
      <c r="W150" s="4">
        <v>127.23151799999999</v>
      </c>
      <c r="X150" s="4">
        <v>3.24287142857143</v>
      </c>
      <c r="Y150" s="4">
        <v>0.63321226063917102</v>
      </c>
    </row>
    <row r="151" spans="1:25" x14ac:dyDescent="0.3">
      <c r="A151" s="3" t="s">
        <v>49</v>
      </c>
      <c r="B151" s="4">
        <v>2974.50571739515</v>
      </c>
      <c r="C151" s="4">
        <v>476.02508526874198</v>
      </c>
      <c r="D151" s="4">
        <v>1452.7004006104401</v>
      </c>
      <c r="E151" s="4">
        <v>5241.5719835741002</v>
      </c>
      <c r="F151" s="4">
        <v>4903.2312032742502</v>
      </c>
      <c r="G151" s="4">
        <v>3159.7312032742502</v>
      </c>
      <c r="H151" s="4">
        <v>1743.5</v>
      </c>
      <c r="I151" s="4">
        <v>6.4549486558636699</v>
      </c>
      <c r="J151" s="4">
        <v>178.79980856634299</v>
      </c>
      <c r="K151" s="4">
        <v>136.456455517584</v>
      </c>
      <c r="L151" s="4">
        <v>161.92361433934201</v>
      </c>
      <c r="M151" s="4">
        <v>55.557486991083103</v>
      </c>
      <c r="N151" s="4">
        <v>169.40641460967601</v>
      </c>
      <c r="O151" s="4">
        <v>165.437469798319</v>
      </c>
      <c r="P151" s="4">
        <v>149.440457708558</v>
      </c>
      <c r="Q151" s="4">
        <v>123.012262991726</v>
      </c>
      <c r="R151" s="4">
        <v>118.30066417226401</v>
      </c>
      <c r="S151" s="4">
        <v>124.697491779142</v>
      </c>
      <c r="T151" s="4">
        <v>174.59932419702599</v>
      </c>
      <c r="U151" s="4">
        <v>286.155635140154</v>
      </c>
      <c r="V151" s="4">
        <v>102.40561446269101</v>
      </c>
      <c r="W151" s="4">
        <v>127.431083</v>
      </c>
      <c r="X151" s="4">
        <v>3.2488052631578999</v>
      </c>
      <c r="Y151" s="4">
        <v>7.2818382486276398</v>
      </c>
    </row>
    <row r="152" spans="1:25" x14ac:dyDescent="0.3">
      <c r="A152" s="3" t="s">
        <v>50</v>
      </c>
      <c r="B152" s="4">
        <v>2932</v>
      </c>
      <c r="C152" s="4">
        <v>468.8</v>
      </c>
      <c r="D152" s="4">
        <v>1452.3</v>
      </c>
      <c r="E152" s="4">
        <v>5235.3</v>
      </c>
      <c r="F152" s="4">
        <v>4853.1000000000004</v>
      </c>
      <c r="G152" s="4">
        <v>3077.3</v>
      </c>
      <c r="H152" s="4">
        <v>1775.8</v>
      </c>
      <c r="I152" s="4">
        <v>7.3004412354592896</v>
      </c>
      <c r="J152" s="4">
        <v>154.57348894095301</v>
      </c>
      <c r="K152" s="4">
        <v>115.174696071849</v>
      </c>
      <c r="L152" s="4">
        <v>157.62958473442799</v>
      </c>
      <c r="M152" s="4">
        <v>149.50743748331101</v>
      </c>
      <c r="N152" s="4">
        <v>146.43594899243399</v>
      </c>
      <c r="O152" s="4">
        <v>141.088221121657</v>
      </c>
      <c r="P152" s="4">
        <v>141.87307439091501</v>
      </c>
      <c r="Q152" s="4">
        <v>124.435684778892</v>
      </c>
      <c r="R152" s="4">
        <v>143.16976223394801</v>
      </c>
      <c r="S152" s="4">
        <v>117.704977117892</v>
      </c>
      <c r="T152" s="4">
        <v>179.34253622673799</v>
      </c>
      <c r="U152" s="4">
        <v>152.678062259265</v>
      </c>
      <c r="V152" s="4">
        <v>102.20431346663899</v>
      </c>
      <c r="W152" s="4">
        <v>127.593452</v>
      </c>
      <c r="X152" s="4">
        <v>3.2159952380952399</v>
      </c>
      <c r="Y152" s="4">
        <v>-2.7828450119864399</v>
      </c>
    </row>
    <row r="153" spans="1:25" x14ac:dyDescent="0.3">
      <c r="A153" s="3" t="s">
        <v>51</v>
      </c>
      <c r="B153" s="4">
        <v>2991.5</v>
      </c>
      <c r="C153" s="4">
        <v>442</v>
      </c>
      <c r="D153" s="4">
        <v>1396.9</v>
      </c>
      <c r="E153" s="4">
        <v>5252</v>
      </c>
      <c r="F153" s="4">
        <v>4830.3999999999996</v>
      </c>
      <c r="G153" s="4">
        <v>3055.6</v>
      </c>
      <c r="H153" s="4">
        <v>1774.8</v>
      </c>
      <c r="I153" s="4">
        <v>8.0274181264280298</v>
      </c>
      <c r="J153" s="4">
        <v>151.427610864173</v>
      </c>
      <c r="K153" s="4">
        <v>108.389147721676</v>
      </c>
      <c r="L153" s="4">
        <v>151.57859291679799</v>
      </c>
      <c r="M153" s="4">
        <v>75.128641363296794</v>
      </c>
      <c r="N153" s="4">
        <v>134.907367312128</v>
      </c>
      <c r="O153" s="4">
        <v>136.326927855158</v>
      </c>
      <c r="P153" s="4">
        <v>95.883903969102093</v>
      </c>
      <c r="Q153" s="4">
        <v>112.06474211059501</v>
      </c>
      <c r="R153" s="4">
        <v>104.601055823138</v>
      </c>
      <c r="S153" s="4">
        <v>114.719594412989</v>
      </c>
      <c r="T153" s="4">
        <v>165.43337932588801</v>
      </c>
      <c r="U153" s="4">
        <v>159.252061544101</v>
      </c>
      <c r="V153" s="4">
        <v>102.42263006645901</v>
      </c>
      <c r="W153" s="4">
        <v>127.912717</v>
      </c>
      <c r="X153" s="4">
        <v>3.2499850000000001</v>
      </c>
      <c r="Y153" s="4">
        <v>-0.19378129583078299</v>
      </c>
    </row>
    <row r="154" spans="1:25" x14ac:dyDescent="0.3">
      <c r="A154" s="3" t="s">
        <v>52</v>
      </c>
      <c r="B154" s="4">
        <v>2965.8</v>
      </c>
      <c r="C154" s="4">
        <v>436.8</v>
      </c>
      <c r="D154" s="4">
        <v>1397.6</v>
      </c>
      <c r="E154" s="4">
        <v>5221.2</v>
      </c>
      <c r="F154" s="4">
        <v>4800.3</v>
      </c>
      <c r="G154" s="4">
        <v>3024.3</v>
      </c>
      <c r="H154" s="4">
        <v>1776</v>
      </c>
      <c r="I154" s="4">
        <v>8.06136520340152</v>
      </c>
      <c r="J154" s="4">
        <v>161.39340679964801</v>
      </c>
      <c r="K154" s="4">
        <v>133.57138916459601</v>
      </c>
      <c r="L154" s="4">
        <v>164.517502708081</v>
      </c>
      <c r="M154" s="4">
        <v>72.431636640691096</v>
      </c>
      <c r="N154" s="4">
        <v>153.32993139629201</v>
      </c>
      <c r="O154" s="4">
        <v>148.07723364176599</v>
      </c>
      <c r="P154" s="4">
        <v>146.13102465513799</v>
      </c>
      <c r="Q154" s="4">
        <v>121.516997686194</v>
      </c>
      <c r="R154" s="4">
        <v>117.134755176979</v>
      </c>
      <c r="S154" s="4">
        <v>123.074610791559</v>
      </c>
      <c r="T154" s="4">
        <v>181.283268054031</v>
      </c>
      <c r="U154" s="4">
        <v>161.86894274695001</v>
      </c>
      <c r="V154" s="4">
        <v>100.282796678441</v>
      </c>
      <c r="W154" s="4">
        <v>128.535811</v>
      </c>
      <c r="X154" s="4">
        <v>3.2531099999999999</v>
      </c>
      <c r="Y154" s="4">
        <v>0.73311290654477601</v>
      </c>
    </row>
    <row r="155" spans="1:25" x14ac:dyDescent="0.3">
      <c r="A155" s="3" t="s">
        <v>53</v>
      </c>
      <c r="B155" s="4">
        <v>2965.4</v>
      </c>
      <c r="C155" s="4">
        <v>461.6</v>
      </c>
      <c r="D155" s="4">
        <v>1426.5</v>
      </c>
      <c r="E155" s="4">
        <v>5237.2</v>
      </c>
      <c r="F155" s="4">
        <v>4853.6000000000004</v>
      </c>
      <c r="G155" s="4">
        <v>3057.1</v>
      </c>
      <c r="H155" s="4">
        <v>1796.5</v>
      </c>
      <c r="I155" s="4">
        <v>7.3245245551057803</v>
      </c>
      <c r="J155" s="4">
        <v>169.39361074530899</v>
      </c>
      <c r="K155" s="4">
        <v>204.15160071927099</v>
      </c>
      <c r="L155" s="4">
        <v>168.29366622762899</v>
      </c>
      <c r="M155" s="4">
        <v>192.89331577393401</v>
      </c>
      <c r="N155" s="4">
        <v>147.87583153772701</v>
      </c>
      <c r="O155" s="4">
        <v>142.12577507957101</v>
      </c>
      <c r="P155" s="4">
        <v>144.16523937327901</v>
      </c>
      <c r="Q155" s="4">
        <v>137.66953308325299</v>
      </c>
      <c r="R155" s="4">
        <v>177.10797921144601</v>
      </c>
      <c r="S155" s="4">
        <v>123.556861380924</v>
      </c>
      <c r="T155" s="4">
        <v>177.23778973266101</v>
      </c>
      <c r="U155" s="4">
        <v>173.86726135306901</v>
      </c>
      <c r="V155" s="4">
        <v>98.620285490977295</v>
      </c>
      <c r="W155" s="4">
        <v>128.359623</v>
      </c>
      <c r="X155" s="4">
        <v>3.2314099999999999</v>
      </c>
      <c r="Y155" s="4">
        <v>-0.74339977985378003</v>
      </c>
    </row>
    <row r="156" spans="1:25" x14ac:dyDescent="0.3">
      <c r="A156" s="3" t="s">
        <v>54</v>
      </c>
      <c r="B156" s="4">
        <v>2938.5</v>
      </c>
      <c r="C156" s="4">
        <v>502.1</v>
      </c>
      <c r="D156" s="4">
        <v>1415.6</v>
      </c>
      <c r="E156" s="4">
        <v>5201.3</v>
      </c>
      <c r="F156" s="4">
        <v>4856.1000000000004</v>
      </c>
      <c r="G156" s="4">
        <v>3027.7</v>
      </c>
      <c r="H156" s="4">
        <v>1828.4</v>
      </c>
      <c r="I156" s="4">
        <v>6.6368023378770697</v>
      </c>
      <c r="J156" s="4">
        <v>174.175837444048</v>
      </c>
      <c r="K156" s="4">
        <v>245.633828665718</v>
      </c>
      <c r="L156" s="4">
        <v>173.64963306215299</v>
      </c>
      <c r="M156" s="4">
        <v>255.43249103204201</v>
      </c>
      <c r="N156" s="4">
        <v>162.36700869979401</v>
      </c>
      <c r="O156" s="4">
        <v>156.92778431751901</v>
      </c>
      <c r="P156" s="4">
        <v>153.14138476555101</v>
      </c>
      <c r="Q156" s="4">
        <v>148.377328771218</v>
      </c>
      <c r="R156" s="4">
        <v>211.517306246278</v>
      </c>
      <c r="S156" s="4">
        <v>125.705150972026</v>
      </c>
      <c r="T156" s="4">
        <v>181.96764131364799</v>
      </c>
      <c r="U156" s="4">
        <v>177.623671271598</v>
      </c>
      <c r="V156" s="4">
        <v>98.295386200501994</v>
      </c>
      <c r="W156" s="4">
        <v>128.38331199999999</v>
      </c>
      <c r="X156" s="4">
        <v>3.27479090909091</v>
      </c>
      <c r="Y156" s="4">
        <v>-0.516087037477859</v>
      </c>
    </row>
    <row r="157" spans="1:25" x14ac:dyDescent="0.3">
      <c r="A157" s="3" t="s">
        <v>55</v>
      </c>
      <c r="B157" s="4">
        <v>2961.4</v>
      </c>
      <c r="C157" s="4">
        <v>502.9</v>
      </c>
      <c r="D157" s="4">
        <v>1395.6</v>
      </c>
      <c r="E157" s="4">
        <v>5182.3999999999996</v>
      </c>
      <c r="F157" s="4">
        <v>4859.8999999999996</v>
      </c>
      <c r="G157" s="4">
        <v>3033.4</v>
      </c>
      <c r="H157" s="4">
        <v>1826.5</v>
      </c>
      <c r="I157" s="4">
        <v>6.2229854893485603</v>
      </c>
      <c r="J157" s="4">
        <v>165.55485543943701</v>
      </c>
      <c r="K157" s="4">
        <v>226.068424958572</v>
      </c>
      <c r="L157" s="4">
        <v>171.53725175737199</v>
      </c>
      <c r="M157" s="4">
        <v>119.870835022856</v>
      </c>
      <c r="N157" s="4">
        <v>155.928895266805</v>
      </c>
      <c r="O157" s="4">
        <v>151.29050241368299</v>
      </c>
      <c r="P157" s="4">
        <v>143.604140875978</v>
      </c>
      <c r="Q157" s="4">
        <v>128.90068294965499</v>
      </c>
      <c r="R157" s="4">
        <v>154.38397500863999</v>
      </c>
      <c r="S157" s="4">
        <v>119.878787830406</v>
      </c>
      <c r="T157" s="4">
        <v>174.75649694322101</v>
      </c>
      <c r="U157" s="4">
        <v>174.50825139580999</v>
      </c>
      <c r="V157" s="4">
        <v>97.274531163895801</v>
      </c>
      <c r="W157" s="4">
        <v>128.81218699999999</v>
      </c>
      <c r="X157" s="4">
        <v>3.2721849999999999</v>
      </c>
      <c r="Y157" s="4">
        <v>1.58620010501645</v>
      </c>
    </row>
    <row r="158" spans="1:25" x14ac:dyDescent="0.3">
      <c r="A158" s="3" t="s">
        <v>56</v>
      </c>
      <c r="B158" s="4">
        <v>3000.1</v>
      </c>
      <c r="C158" s="4">
        <v>504.5</v>
      </c>
      <c r="D158" s="4">
        <v>1389</v>
      </c>
      <c r="E158" s="4">
        <v>5215.3</v>
      </c>
      <c r="F158" s="4">
        <v>4893.6000000000004</v>
      </c>
      <c r="G158" s="4">
        <v>3080.2</v>
      </c>
      <c r="H158" s="4">
        <v>1813.4</v>
      </c>
      <c r="I158" s="4">
        <v>6.1683891626560303</v>
      </c>
      <c r="J158" s="4">
        <v>166.56232948485001</v>
      </c>
      <c r="K158" s="4">
        <v>173.03110263796401</v>
      </c>
      <c r="L158" s="4">
        <v>175.35922020048599</v>
      </c>
      <c r="M158" s="4">
        <v>54.850662562119197</v>
      </c>
      <c r="N158" s="4">
        <v>150.81527743759901</v>
      </c>
      <c r="O158" s="4">
        <v>146.89675782183099</v>
      </c>
      <c r="P158" s="4">
        <v>135.670352222292</v>
      </c>
      <c r="Q158" s="4">
        <v>122.0468028606</v>
      </c>
      <c r="R158" s="4">
        <v>116.497008167556</v>
      </c>
      <c r="S158" s="4">
        <v>124.133264246653</v>
      </c>
      <c r="T158" s="4">
        <v>177.64685380031401</v>
      </c>
      <c r="U158" s="4">
        <v>187.289537526549</v>
      </c>
      <c r="V158" s="4">
        <v>95.436839031186807</v>
      </c>
      <c r="W158" s="4">
        <v>129.305262</v>
      </c>
      <c r="X158" s="4">
        <v>3.2780904761904801</v>
      </c>
      <c r="Y158" s="4">
        <v>2.7270151849790198</v>
      </c>
    </row>
    <row r="159" spans="1:25" x14ac:dyDescent="0.3">
      <c r="A159" s="3" t="s">
        <v>57</v>
      </c>
      <c r="B159" s="4">
        <v>2964.3</v>
      </c>
      <c r="C159" s="4">
        <v>476.8</v>
      </c>
      <c r="D159" s="4">
        <v>1479.3</v>
      </c>
      <c r="E159" s="4">
        <v>5239.2</v>
      </c>
      <c r="F159" s="4">
        <v>4920.3999999999996</v>
      </c>
      <c r="G159" s="4">
        <v>3138.7</v>
      </c>
      <c r="H159" s="4">
        <v>1781.7</v>
      </c>
      <c r="I159" s="4">
        <v>6.0848984577798104</v>
      </c>
      <c r="J159" s="4">
        <v>166.44947746744501</v>
      </c>
      <c r="K159" s="4">
        <v>120.380471185837</v>
      </c>
      <c r="L159" s="4">
        <v>173.93070929436101</v>
      </c>
      <c r="M159" s="4">
        <v>52.415240055474499</v>
      </c>
      <c r="N159" s="4">
        <v>156.97103160714201</v>
      </c>
      <c r="O159" s="4">
        <v>157.95255188315701</v>
      </c>
      <c r="P159" s="4">
        <v>113.45528897904499</v>
      </c>
      <c r="Q159" s="4">
        <v>126.734229457391</v>
      </c>
      <c r="R159" s="4">
        <v>111.23444857333099</v>
      </c>
      <c r="S159" s="4">
        <v>132.23217644855299</v>
      </c>
      <c r="T159" s="4">
        <v>178.35940914534399</v>
      </c>
      <c r="U159" s="4">
        <v>187.32306260413</v>
      </c>
      <c r="V159" s="4">
        <v>91.636352536063498</v>
      </c>
      <c r="W159" s="4">
        <v>129.47564399999999</v>
      </c>
      <c r="X159" s="4">
        <v>3.28972857142857</v>
      </c>
      <c r="Y159" s="4">
        <v>-0.72562150950701099</v>
      </c>
    </row>
    <row r="160" spans="1:25" x14ac:dyDescent="0.3">
      <c r="A160" s="3" t="s">
        <v>58</v>
      </c>
      <c r="B160" s="4">
        <v>2967.3</v>
      </c>
      <c r="C160" s="4">
        <v>467.3</v>
      </c>
      <c r="D160" s="4">
        <v>1481.1</v>
      </c>
      <c r="E160" s="4">
        <v>5239.5</v>
      </c>
      <c r="F160" s="4">
        <v>4915.6000000000004</v>
      </c>
      <c r="G160" s="4">
        <v>3126</v>
      </c>
      <c r="H160" s="4">
        <v>1789.6</v>
      </c>
      <c r="I160" s="4">
        <v>6.1818875846932002</v>
      </c>
      <c r="J160" s="4">
        <v>168.17658816426999</v>
      </c>
      <c r="K160" s="4">
        <v>111.807119592248</v>
      </c>
      <c r="L160" s="4">
        <v>168.14889439628101</v>
      </c>
      <c r="M160" s="4">
        <v>49.494049559140997</v>
      </c>
      <c r="N160" s="4">
        <v>161.89757957596501</v>
      </c>
      <c r="O160" s="4">
        <v>156.870484878919</v>
      </c>
      <c r="P160" s="4">
        <v>150.04654435987001</v>
      </c>
      <c r="Q160" s="4">
        <v>124.536297984988</v>
      </c>
      <c r="R160" s="4">
        <v>110.862038716529</v>
      </c>
      <c r="S160" s="4">
        <v>129.39514386403999</v>
      </c>
      <c r="T160" s="4">
        <v>175.27982121451399</v>
      </c>
      <c r="U160" s="4">
        <v>190.77751322208701</v>
      </c>
      <c r="V160" s="4">
        <v>90.729972476341104</v>
      </c>
      <c r="W160" s="4">
        <v>129.72382500000001</v>
      </c>
      <c r="X160" s="4">
        <v>3.31263</v>
      </c>
      <c r="Y160" s="4">
        <v>0.174175097911177</v>
      </c>
    </row>
    <row r="161" spans="1:25" x14ac:dyDescent="0.3">
      <c r="A161" s="3" t="s">
        <v>59</v>
      </c>
      <c r="B161" s="4">
        <v>3001.5</v>
      </c>
      <c r="C161" s="4">
        <v>448.9</v>
      </c>
      <c r="D161" s="4">
        <v>1439.5</v>
      </c>
      <c r="E161" s="4">
        <v>5225.7</v>
      </c>
      <c r="F161" s="4">
        <v>4889.8999999999996</v>
      </c>
      <c r="G161" s="4">
        <v>3128.7</v>
      </c>
      <c r="H161" s="4">
        <v>1761.2</v>
      </c>
      <c r="I161" s="4">
        <v>6.4259333677784802</v>
      </c>
      <c r="J161" s="4">
        <v>171.63317432662001</v>
      </c>
      <c r="K161" s="4">
        <v>117.67393812002599</v>
      </c>
      <c r="L161" s="4">
        <v>168.657091012259</v>
      </c>
      <c r="M161" s="4">
        <v>61.627743947789497</v>
      </c>
      <c r="N161" s="4">
        <v>156.28878088563599</v>
      </c>
      <c r="O161" s="4">
        <v>151.35336768799101</v>
      </c>
      <c r="P161" s="4">
        <v>144.901963876948</v>
      </c>
      <c r="Q161" s="4">
        <v>133.67424214989899</v>
      </c>
      <c r="R161" s="4">
        <v>119.68768825748199</v>
      </c>
      <c r="S161" s="4">
        <v>138.62890411572599</v>
      </c>
      <c r="T161" s="4">
        <v>182.49060477357801</v>
      </c>
      <c r="U161" s="4">
        <v>219.84855816687701</v>
      </c>
      <c r="V161" s="4">
        <v>91.367178346925996</v>
      </c>
      <c r="W161" s="4">
        <v>129.82978800000001</v>
      </c>
      <c r="X161" s="4">
        <v>3.3355454545454499</v>
      </c>
      <c r="Y161" s="4">
        <v>0.21540559154233099</v>
      </c>
    </row>
    <row r="162" spans="1:25" x14ac:dyDescent="0.3">
      <c r="A162" s="3" t="s">
        <v>60</v>
      </c>
      <c r="B162" s="4">
        <v>3057.3</v>
      </c>
      <c r="C162" s="4">
        <v>459</v>
      </c>
      <c r="D162" s="4">
        <v>1437.2</v>
      </c>
      <c r="E162" s="4">
        <v>5283.6</v>
      </c>
      <c r="F162" s="4">
        <v>4953.5</v>
      </c>
      <c r="G162" s="4">
        <v>3140.5</v>
      </c>
      <c r="H162" s="4">
        <v>1813</v>
      </c>
      <c r="I162" s="4">
        <v>6.2476341888106601</v>
      </c>
      <c r="J162" s="4">
        <v>170.28616078550399</v>
      </c>
      <c r="K162" s="4">
        <v>127.12127822252999</v>
      </c>
      <c r="L162" s="4">
        <v>168.98305490719801</v>
      </c>
      <c r="M162" s="4">
        <v>169.64031188750599</v>
      </c>
      <c r="N162" s="4">
        <v>156.094288146727</v>
      </c>
      <c r="O162" s="4">
        <v>150.65392191392499</v>
      </c>
      <c r="P162" s="4">
        <v>147.321484272802</v>
      </c>
      <c r="Q162" s="4">
        <v>137.87973073488001</v>
      </c>
      <c r="R162" s="4">
        <v>155.155066222773</v>
      </c>
      <c r="S162" s="4">
        <v>131.65649730675699</v>
      </c>
      <c r="T162" s="4">
        <v>180.58687614589999</v>
      </c>
      <c r="U162" s="4">
        <v>218.916818146731</v>
      </c>
      <c r="V162" s="4">
        <v>92.478918779580297</v>
      </c>
      <c r="W162" s="4">
        <v>129.98874900000001</v>
      </c>
      <c r="X162" s="4">
        <v>3.3762750000000001</v>
      </c>
      <c r="Y162" s="4">
        <v>0.30631151736766199</v>
      </c>
    </row>
    <row r="163" spans="1:25" x14ac:dyDescent="0.3">
      <c r="A163" s="3" t="s">
        <v>61</v>
      </c>
      <c r="B163" s="4">
        <v>3086.6</v>
      </c>
      <c r="C163" s="4">
        <v>450.4</v>
      </c>
      <c r="D163" s="4">
        <v>1445.4</v>
      </c>
      <c r="E163" s="4">
        <v>5307.7</v>
      </c>
      <c r="F163" s="4">
        <v>4982.5</v>
      </c>
      <c r="G163" s="4">
        <v>3161.9</v>
      </c>
      <c r="H163" s="4">
        <v>1820.6</v>
      </c>
      <c r="I163" s="4">
        <v>6.1269476421048701</v>
      </c>
      <c r="J163" s="4">
        <v>187.29259758580901</v>
      </c>
      <c r="K163" s="4">
        <v>136.78359967297601</v>
      </c>
      <c r="L163" s="4">
        <v>175.23216340582999</v>
      </c>
      <c r="M163" s="4">
        <v>187.08543371687901</v>
      </c>
      <c r="N163" s="4">
        <v>167.066110514987</v>
      </c>
      <c r="O163" s="4">
        <v>162.39511591019601</v>
      </c>
      <c r="P163" s="4">
        <v>151.49843439577</v>
      </c>
      <c r="Q163" s="4">
        <v>138.19993866104201</v>
      </c>
      <c r="R163" s="4">
        <v>170.532601082806</v>
      </c>
      <c r="S163" s="4">
        <v>126.705659743532</v>
      </c>
      <c r="T163" s="4">
        <v>187.47567436577199</v>
      </c>
      <c r="U163" s="4">
        <v>300.47776734155201</v>
      </c>
      <c r="V163" s="4">
        <v>94.823876278301597</v>
      </c>
      <c r="W163" s="4">
        <v>130.22503900000001</v>
      </c>
      <c r="X163" s="4">
        <v>3.3652315789473701</v>
      </c>
      <c r="Y163" s="4">
        <v>7.0620185271042404</v>
      </c>
    </row>
    <row r="164" spans="1:25" x14ac:dyDescent="0.3">
      <c r="A164" s="3" t="s">
        <v>62</v>
      </c>
      <c r="B164" s="4">
        <v>3079.2</v>
      </c>
      <c r="C164" s="4">
        <v>427.3</v>
      </c>
      <c r="D164" s="4">
        <v>1428.1</v>
      </c>
      <c r="E164" s="4">
        <v>5276.2</v>
      </c>
      <c r="F164" s="4">
        <v>4934.5</v>
      </c>
      <c r="G164" s="4">
        <v>3082</v>
      </c>
      <c r="H164" s="4">
        <v>1852.5</v>
      </c>
      <c r="I164" s="4">
        <v>6.4762518479208504</v>
      </c>
      <c r="J164" s="4">
        <v>157.28358894314201</v>
      </c>
      <c r="K164" s="4">
        <v>118.0003992365</v>
      </c>
      <c r="L164" s="4">
        <v>165.70574277991699</v>
      </c>
      <c r="M164" s="4">
        <v>115.145222951918</v>
      </c>
      <c r="N164" s="4">
        <v>144.54743944808999</v>
      </c>
      <c r="O164" s="4">
        <v>139.12443015983899</v>
      </c>
      <c r="P164" s="4">
        <v>140.82321364042301</v>
      </c>
      <c r="Q164" s="4">
        <v>118.189149640271</v>
      </c>
      <c r="R164" s="4">
        <v>105.25844813524699</v>
      </c>
      <c r="S164" s="4">
        <v>122.838519495198</v>
      </c>
      <c r="T164" s="4">
        <v>188.92431640755601</v>
      </c>
      <c r="U164" s="4">
        <v>152.40215540410901</v>
      </c>
      <c r="V164" s="4">
        <v>94.421054065494502</v>
      </c>
      <c r="W164" s="4">
        <v>130.31011799999999</v>
      </c>
      <c r="X164" s="4">
        <v>3.3444409090909102</v>
      </c>
      <c r="Y164" s="4">
        <v>-3.4145286905466001</v>
      </c>
    </row>
    <row r="165" spans="1:25" x14ac:dyDescent="0.3">
      <c r="A165" s="3" t="s">
        <v>63</v>
      </c>
      <c r="B165" s="4">
        <v>3070.1</v>
      </c>
      <c r="C165" s="4">
        <v>410.6</v>
      </c>
      <c r="D165" s="4">
        <v>1375.5</v>
      </c>
      <c r="E165" s="4">
        <v>5253.3</v>
      </c>
      <c r="F165" s="4">
        <v>4856.2</v>
      </c>
      <c r="G165" s="4">
        <v>3057.9</v>
      </c>
      <c r="H165" s="4">
        <v>1798.3</v>
      </c>
      <c r="I165" s="4">
        <v>7.5590581158509904</v>
      </c>
      <c r="J165" s="4">
        <v>154.6604748931</v>
      </c>
      <c r="K165" s="4">
        <v>113.692840136288</v>
      </c>
      <c r="L165" s="4">
        <v>159.61587533613999</v>
      </c>
      <c r="M165" s="4">
        <v>75.518847642732595</v>
      </c>
      <c r="N165" s="4">
        <v>134.15115061906101</v>
      </c>
      <c r="O165" s="4">
        <v>128.417440596848</v>
      </c>
      <c r="P165" s="4">
        <v>134.23746555674299</v>
      </c>
      <c r="Q165" s="4">
        <v>110.87698201169</v>
      </c>
      <c r="R165" s="4">
        <v>95.737942698422799</v>
      </c>
      <c r="S165" s="4">
        <v>116.273811968093</v>
      </c>
      <c r="T165" s="4">
        <v>174.77821314424699</v>
      </c>
      <c r="U165" s="4">
        <v>160.419516594659</v>
      </c>
      <c r="V165" s="4">
        <v>91.805482013463504</v>
      </c>
      <c r="W165" s="4">
        <v>130.475301</v>
      </c>
      <c r="X165" s="4">
        <v>3.32226</v>
      </c>
      <c r="Y165" s="4">
        <v>-1.5618541320743999</v>
      </c>
    </row>
    <row r="166" spans="1:25" x14ac:dyDescent="0.3">
      <c r="A166" s="3" t="s">
        <v>64</v>
      </c>
      <c r="B166" s="4">
        <v>3014.4</v>
      </c>
      <c r="C166" s="4">
        <v>420.3</v>
      </c>
      <c r="D166" s="4">
        <v>1395.1</v>
      </c>
      <c r="E166" s="4">
        <v>5258.7</v>
      </c>
      <c r="F166" s="4">
        <v>4829.7</v>
      </c>
      <c r="G166" s="4">
        <v>3056.9</v>
      </c>
      <c r="H166" s="4">
        <v>1772.8</v>
      </c>
      <c r="I166" s="4">
        <v>8.1579097495578807</v>
      </c>
      <c r="J166" s="4">
        <v>166.89506745534001</v>
      </c>
      <c r="K166" s="4">
        <v>141.60707487222999</v>
      </c>
      <c r="L166" s="4">
        <v>172.394190877049</v>
      </c>
      <c r="M166" s="4">
        <v>68.216248122167599</v>
      </c>
      <c r="N166" s="4">
        <v>153.882203904687</v>
      </c>
      <c r="O166" s="4">
        <v>148.82629534453301</v>
      </c>
      <c r="P166" s="4">
        <v>145.48804814665601</v>
      </c>
      <c r="Q166" s="4">
        <v>126.577831665541</v>
      </c>
      <c r="R166" s="4">
        <v>123.01862970614999</v>
      </c>
      <c r="S166" s="4">
        <v>127.842795670523</v>
      </c>
      <c r="T166" s="4">
        <v>193.50760167268899</v>
      </c>
      <c r="U166" s="4">
        <v>171.608685581358</v>
      </c>
      <c r="V166" s="4">
        <v>93.003467965174394</v>
      </c>
      <c r="W166" s="4">
        <v>131.424577</v>
      </c>
      <c r="X166" s="4">
        <v>3.3058095238095202</v>
      </c>
      <c r="Y166" s="4">
        <v>0.46262176125833099</v>
      </c>
    </row>
    <row r="167" spans="1:25" x14ac:dyDescent="0.3">
      <c r="A167" s="3" t="s">
        <v>65</v>
      </c>
      <c r="B167" s="4">
        <v>2938.8</v>
      </c>
      <c r="C167" s="4">
        <v>434.9</v>
      </c>
      <c r="D167" s="4">
        <v>1497.8</v>
      </c>
      <c r="E167" s="4">
        <v>5256.9</v>
      </c>
      <c r="F167" s="4">
        <v>4871.5</v>
      </c>
      <c r="G167" s="4">
        <v>3123.2</v>
      </c>
      <c r="H167" s="4">
        <v>1748.3</v>
      </c>
      <c r="I167" s="4">
        <v>7.3313169358367096</v>
      </c>
      <c r="J167" s="4">
        <v>169.45575911890501</v>
      </c>
      <c r="K167" s="4">
        <v>211.87940072690299</v>
      </c>
      <c r="L167" s="4">
        <v>176.045133111984</v>
      </c>
      <c r="M167" s="4">
        <v>77.380094272411498</v>
      </c>
      <c r="N167" s="4">
        <v>144.08232388802401</v>
      </c>
      <c r="O167" s="4">
        <v>140.17665887989901</v>
      </c>
      <c r="P167" s="4">
        <v>131.233617401495</v>
      </c>
      <c r="Q167" s="4">
        <v>118.420482068159</v>
      </c>
      <c r="R167" s="4">
        <v>119.7854200953</v>
      </c>
      <c r="S167" s="4">
        <v>117.93958150640501</v>
      </c>
      <c r="T167" s="4">
        <v>183.92812865285799</v>
      </c>
      <c r="U167" s="4">
        <v>190.13005837120801</v>
      </c>
      <c r="V167" s="4">
        <v>94.558941802898801</v>
      </c>
      <c r="W167" s="4">
        <v>131.687532</v>
      </c>
      <c r="X167" s="4">
        <v>3.3049900000000001</v>
      </c>
      <c r="Y167" s="4">
        <v>-1.7998300332844099</v>
      </c>
    </row>
    <row r="168" spans="1:25" x14ac:dyDescent="0.3">
      <c r="A168" s="3" t="s">
        <v>66</v>
      </c>
      <c r="B168" s="4">
        <v>2917.6</v>
      </c>
      <c r="C168" s="4">
        <v>428.1</v>
      </c>
      <c r="D168" s="4">
        <v>1521.9</v>
      </c>
      <c r="E168" s="4">
        <v>5217.6000000000004</v>
      </c>
      <c r="F168" s="4">
        <v>4867.5</v>
      </c>
      <c r="G168" s="4">
        <v>3120.3</v>
      </c>
      <c r="H168" s="4">
        <v>1747.2</v>
      </c>
      <c r="I168" s="4">
        <v>6.7099816007359703</v>
      </c>
      <c r="J168" s="4">
        <v>175.346300356905</v>
      </c>
      <c r="K168" s="4">
        <v>248.90843492382601</v>
      </c>
      <c r="L168" s="4">
        <v>180.14553625968699</v>
      </c>
      <c r="M168" s="4">
        <v>193.40698516401099</v>
      </c>
      <c r="N168" s="4">
        <v>160.199317668964</v>
      </c>
      <c r="O168" s="4">
        <v>156.94533500557401</v>
      </c>
      <c r="P168" s="4">
        <v>139.60368635227599</v>
      </c>
      <c r="Q168" s="4">
        <v>138.508208538155</v>
      </c>
      <c r="R168" s="4">
        <v>173.740929768781</v>
      </c>
      <c r="S168" s="4">
        <v>125.941444256626</v>
      </c>
      <c r="T168" s="4">
        <v>189.67211365496101</v>
      </c>
      <c r="U168" s="4">
        <v>176.91775683886101</v>
      </c>
      <c r="V168" s="4">
        <v>94.463801718657606</v>
      </c>
      <c r="W168" s="4">
        <v>131.88192100000001</v>
      </c>
      <c r="X168" s="4">
        <v>3.3343363636363601</v>
      </c>
      <c r="Y168" s="4">
        <v>9.2639920645329596E-2</v>
      </c>
    </row>
    <row r="169" spans="1:25" x14ac:dyDescent="0.3">
      <c r="A169" s="3" t="s">
        <v>67</v>
      </c>
      <c r="B169" s="4">
        <v>2928.5</v>
      </c>
      <c r="C169" s="4">
        <v>433.6</v>
      </c>
      <c r="D169" s="4">
        <v>1534.9</v>
      </c>
      <c r="E169" s="4">
        <v>5226.7</v>
      </c>
      <c r="F169" s="4">
        <v>4897</v>
      </c>
      <c r="G169" s="4">
        <v>3150.8</v>
      </c>
      <c r="H169" s="4">
        <v>1746.2</v>
      </c>
      <c r="I169" s="4">
        <v>6.30799548472267</v>
      </c>
      <c r="J169" s="4">
        <v>170.12408779673001</v>
      </c>
      <c r="K169" s="4">
        <v>223.39808911187001</v>
      </c>
      <c r="L169" s="4">
        <v>179.495628467865</v>
      </c>
      <c r="M169" s="4">
        <v>142.47915313292</v>
      </c>
      <c r="N169" s="4">
        <v>151.41160480466201</v>
      </c>
      <c r="O169" s="4">
        <v>147.51345379990801</v>
      </c>
      <c r="P169" s="4">
        <v>136.136725550427</v>
      </c>
      <c r="Q169" s="4">
        <v>129.88074064856201</v>
      </c>
      <c r="R169" s="4">
        <v>158.94877092651299</v>
      </c>
      <c r="S169" s="4">
        <v>119.548250571971</v>
      </c>
      <c r="T169" s="4">
        <v>180.79352348423399</v>
      </c>
      <c r="U169" s="4">
        <v>197.72312901512399</v>
      </c>
      <c r="V169" s="4">
        <v>95.115072025248907</v>
      </c>
      <c r="W169" s="4">
        <v>131.76814400000001</v>
      </c>
      <c r="X169" s="4">
        <v>3.3260200000000002</v>
      </c>
      <c r="Y169" s="4">
        <v>1.5311918552102199</v>
      </c>
    </row>
    <row r="170" spans="1:25" x14ac:dyDescent="0.3">
      <c r="A170" s="3" t="s">
        <v>68</v>
      </c>
      <c r="B170" s="4">
        <v>2974.3</v>
      </c>
      <c r="C170" s="4">
        <v>447.8</v>
      </c>
      <c r="D170" s="4">
        <v>1486.1</v>
      </c>
      <c r="E170" s="4">
        <v>5221.7</v>
      </c>
      <c r="F170" s="4">
        <v>4908.2</v>
      </c>
      <c r="G170" s="4">
        <v>3153.2</v>
      </c>
      <c r="H170" s="4">
        <v>1755</v>
      </c>
      <c r="I170" s="4">
        <v>6.0037918685485598</v>
      </c>
      <c r="J170" s="4">
        <v>172.993591977303</v>
      </c>
      <c r="K170" s="4">
        <v>165.37492861240301</v>
      </c>
      <c r="L170" s="4">
        <v>182.01332120148601</v>
      </c>
      <c r="M170" s="4">
        <v>88.135938078200795</v>
      </c>
      <c r="N170" s="4">
        <v>151.216533628299</v>
      </c>
      <c r="O170" s="4">
        <v>146.04845329993501</v>
      </c>
      <c r="P170" s="4">
        <v>142.751966999084</v>
      </c>
      <c r="Q170" s="4">
        <v>131.76076052744099</v>
      </c>
      <c r="R170" s="4">
        <v>129.12435491574001</v>
      </c>
      <c r="S170" s="4">
        <v>132.784611948508</v>
      </c>
      <c r="T170" s="4">
        <v>184.982883712888</v>
      </c>
      <c r="U170" s="4">
        <v>188.318247206054</v>
      </c>
      <c r="V170" s="4">
        <v>96.780021310286003</v>
      </c>
      <c r="W170" s="4">
        <v>132.03607700000001</v>
      </c>
      <c r="X170" s="4">
        <v>3.2911380952381002</v>
      </c>
      <c r="Y170" s="4">
        <v>2.7979122046149598</v>
      </c>
    </row>
    <row r="171" spans="1:25" x14ac:dyDescent="0.3">
      <c r="A171" s="3" t="s">
        <v>69</v>
      </c>
      <c r="B171" s="4">
        <v>2963.2</v>
      </c>
      <c r="C171" s="4">
        <v>469.7</v>
      </c>
      <c r="D171" s="4">
        <v>1499.2</v>
      </c>
      <c r="E171" s="4">
        <v>5237.3</v>
      </c>
      <c r="F171" s="4">
        <v>4932.1000000000004</v>
      </c>
      <c r="G171" s="4">
        <v>3185</v>
      </c>
      <c r="H171" s="4">
        <v>1747.1</v>
      </c>
      <c r="I171" s="4">
        <v>5.8274301643976898</v>
      </c>
      <c r="J171" s="4">
        <v>172.477659504587</v>
      </c>
      <c r="K171" s="4">
        <v>126.0494724646</v>
      </c>
      <c r="L171" s="4">
        <v>180.496963819575</v>
      </c>
      <c r="M171" s="4">
        <v>58.958188853670599</v>
      </c>
      <c r="N171" s="4">
        <v>163.502290240836</v>
      </c>
      <c r="O171" s="4">
        <v>157.43020866754699</v>
      </c>
      <c r="P171" s="4">
        <v>156.79520936904001</v>
      </c>
      <c r="Q171" s="4">
        <v>129.21044050134699</v>
      </c>
      <c r="R171" s="4">
        <v>118.308296067534</v>
      </c>
      <c r="S171" s="4">
        <v>133.05941016153</v>
      </c>
      <c r="T171" s="4">
        <v>185.50650909037</v>
      </c>
      <c r="U171" s="4">
        <v>196.537744829415</v>
      </c>
      <c r="V171" s="4">
        <v>95.325928555167906</v>
      </c>
      <c r="W171" s="4">
        <v>132.116589</v>
      </c>
      <c r="X171" s="4">
        <v>3.3795950000000001</v>
      </c>
      <c r="Y171" s="4">
        <v>0.68511670509952804</v>
      </c>
    </row>
    <row r="172" spans="1:25" x14ac:dyDescent="0.3">
      <c r="A172" s="3" t="s">
        <v>70</v>
      </c>
      <c r="B172" s="4">
        <v>2980.7</v>
      </c>
      <c r="C172" s="4">
        <v>477.5</v>
      </c>
      <c r="D172" s="4">
        <v>1469.3</v>
      </c>
      <c r="E172" s="4">
        <v>5228</v>
      </c>
      <c r="F172" s="4">
        <v>4927.3999999999996</v>
      </c>
      <c r="G172" s="4">
        <v>3177</v>
      </c>
      <c r="H172" s="4">
        <v>1750.4</v>
      </c>
      <c r="I172" s="4">
        <v>5.7498087222647296</v>
      </c>
      <c r="J172" s="4">
        <v>172.071628718802</v>
      </c>
      <c r="K172" s="4">
        <v>116.783773488549</v>
      </c>
      <c r="L172" s="4">
        <v>174.09582552451201</v>
      </c>
      <c r="M172" s="4">
        <v>55.8589916309407</v>
      </c>
      <c r="N172" s="4">
        <v>156.461747626603</v>
      </c>
      <c r="O172" s="4">
        <v>149.19977115675201</v>
      </c>
      <c r="P172" s="4">
        <v>158.074034483123</v>
      </c>
      <c r="Q172" s="4">
        <v>126.79460082877399</v>
      </c>
      <c r="R172" s="4">
        <v>112.75694691400901</v>
      </c>
      <c r="S172" s="4">
        <v>131.78289307570199</v>
      </c>
      <c r="T172" s="4">
        <v>180.20329515011699</v>
      </c>
      <c r="U172" s="4">
        <v>199.66038007905601</v>
      </c>
      <c r="V172" s="4">
        <v>95.866209807302894</v>
      </c>
      <c r="W172" s="4">
        <v>132.125022</v>
      </c>
      <c r="X172" s="4">
        <v>3.35824285714286</v>
      </c>
      <c r="Y172" s="4">
        <v>-0.75494493009298103</v>
      </c>
    </row>
    <row r="173" spans="1:25" x14ac:dyDescent="0.3">
      <c r="A173" s="3" t="s">
        <v>71</v>
      </c>
      <c r="B173" s="4">
        <v>2980</v>
      </c>
      <c r="C173" s="4">
        <v>481.2</v>
      </c>
      <c r="D173" s="4">
        <v>1470.4</v>
      </c>
      <c r="E173" s="4">
        <v>5269.8</v>
      </c>
      <c r="F173" s="4">
        <v>4931.6000000000004</v>
      </c>
      <c r="G173" s="4">
        <v>3210.7</v>
      </c>
      <c r="H173" s="4">
        <v>1720.9</v>
      </c>
      <c r="I173" s="4">
        <v>6.4177008615127704</v>
      </c>
      <c r="J173" s="4">
        <v>175.67928606506899</v>
      </c>
      <c r="K173" s="4">
        <v>132.42808659108999</v>
      </c>
      <c r="L173" s="4">
        <v>174.90221604812899</v>
      </c>
      <c r="M173" s="4">
        <v>66.9647249501744</v>
      </c>
      <c r="N173" s="4">
        <v>157.38118499515701</v>
      </c>
      <c r="O173" s="4">
        <v>151.566064113159</v>
      </c>
      <c r="P173" s="4">
        <v>150.50966987898599</v>
      </c>
      <c r="Q173" s="4">
        <v>134.45386564816499</v>
      </c>
      <c r="R173" s="4">
        <v>128.72815245926799</v>
      </c>
      <c r="S173" s="4">
        <v>136.45567262031301</v>
      </c>
      <c r="T173" s="4">
        <v>187.55403156954699</v>
      </c>
      <c r="U173" s="4">
        <v>223.74644788917701</v>
      </c>
      <c r="V173" s="4">
        <v>94.23658654322</v>
      </c>
      <c r="W173" s="4">
        <v>132.27131800000001</v>
      </c>
      <c r="X173" s="4">
        <v>3.3609619047619099</v>
      </c>
      <c r="Y173" s="4">
        <v>9.7485825394786702E-2</v>
      </c>
    </row>
    <row r="174" spans="1:25" x14ac:dyDescent="0.3">
      <c r="A174" s="3" t="s">
        <v>72</v>
      </c>
      <c r="B174" s="4">
        <v>3004.1</v>
      </c>
      <c r="C174" s="4">
        <v>470.2</v>
      </c>
      <c r="D174" s="4">
        <v>1487.6</v>
      </c>
      <c r="E174" s="4">
        <v>5297</v>
      </c>
      <c r="F174" s="4">
        <v>4961.8999999999996</v>
      </c>
      <c r="G174" s="4">
        <v>3231.7</v>
      </c>
      <c r="H174" s="4">
        <v>1730.2</v>
      </c>
      <c r="I174" s="4">
        <v>6.3262223900320897</v>
      </c>
      <c r="J174" s="4">
        <v>173.71576606306701</v>
      </c>
      <c r="K174" s="4">
        <v>131.71030939221501</v>
      </c>
      <c r="L174" s="4">
        <v>174.58871870639999</v>
      </c>
      <c r="M174" s="4">
        <v>148.133561041993</v>
      </c>
      <c r="N174" s="4">
        <v>162.547814943216</v>
      </c>
      <c r="O174" s="4">
        <v>156.19312229583099</v>
      </c>
      <c r="P174" s="4">
        <v>157.162559422225</v>
      </c>
      <c r="Q174" s="4">
        <v>134.573579585289</v>
      </c>
      <c r="R174" s="4">
        <v>150.81686846896201</v>
      </c>
      <c r="S174" s="4">
        <v>128.72006970017901</v>
      </c>
      <c r="T174" s="4">
        <v>185.025489536685</v>
      </c>
      <c r="U174" s="4">
        <v>211.04069196576501</v>
      </c>
      <c r="V174" s="4">
        <v>93.660344333859598</v>
      </c>
      <c r="W174" s="4">
        <v>132.41537500000001</v>
      </c>
      <c r="X174" s="4">
        <v>3.3736299999999999</v>
      </c>
      <c r="Y174" s="4">
        <v>1.96895596415264</v>
      </c>
    </row>
    <row r="175" spans="1:25" x14ac:dyDescent="0.3">
      <c r="A175" s="3" t="s">
        <v>73</v>
      </c>
      <c r="B175" s="4">
        <v>2979.6</v>
      </c>
      <c r="C175" s="4">
        <v>487.1</v>
      </c>
      <c r="D175" s="4">
        <v>1548</v>
      </c>
      <c r="E175" s="4">
        <v>5340.7</v>
      </c>
      <c r="F175" s="4">
        <v>5014.8</v>
      </c>
      <c r="G175" s="4">
        <v>3310</v>
      </c>
      <c r="H175" s="4">
        <v>1704.8</v>
      </c>
      <c r="I175" s="4">
        <v>6.1021963413035696</v>
      </c>
      <c r="J175" s="4">
        <v>189.36732552792799</v>
      </c>
      <c r="K175" s="4">
        <v>138.51706126524701</v>
      </c>
      <c r="L175" s="4">
        <v>180.58432552344999</v>
      </c>
      <c r="M175" s="4">
        <v>103.123491668554</v>
      </c>
      <c r="N175" s="4">
        <v>169.69841438306901</v>
      </c>
      <c r="O175" s="4">
        <v>165.366735225556</v>
      </c>
      <c r="P175" s="4">
        <v>151.63478298672601</v>
      </c>
      <c r="Q175" s="4">
        <v>130.91635296386499</v>
      </c>
      <c r="R175" s="4">
        <v>132.60189107769</v>
      </c>
      <c r="S175" s="4">
        <v>130.366088132345</v>
      </c>
      <c r="T175" s="4">
        <v>191.22564322730699</v>
      </c>
      <c r="U175" s="4">
        <v>269.24331246455398</v>
      </c>
      <c r="V175" s="4">
        <v>95.861305998682496</v>
      </c>
      <c r="W175" s="4">
        <v>132.699434</v>
      </c>
      <c r="X175" s="4">
        <v>3.3556571428571398</v>
      </c>
      <c r="Y175" s="4">
        <v>4.7611397460566103</v>
      </c>
    </row>
    <row r="176" spans="1:25" x14ac:dyDescent="0.3">
      <c r="A176" s="3" t="s">
        <v>74</v>
      </c>
      <c r="B176" s="4">
        <v>3020</v>
      </c>
      <c r="C176" s="4">
        <v>472.5</v>
      </c>
      <c r="D176" s="4">
        <v>1544.9</v>
      </c>
      <c r="E176" s="4">
        <v>5378.2</v>
      </c>
      <c r="F176" s="4">
        <v>5037.3</v>
      </c>
      <c r="G176" s="4">
        <v>3251.2</v>
      </c>
      <c r="H176" s="4">
        <v>1786.1</v>
      </c>
      <c r="I176" s="4">
        <v>6.3385519318731198</v>
      </c>
      <c r="J176" s="4">
        <v>161.866143196905</v>
      </c>
      <c r="K176" s="4">
        <v>125.483808115702</v>
      </c>
      <c r="L176" s="4">
        <v>170.08168379344099</v>
      </c>
      <c r="M176" s="4">
        <v>78.180118465355406</v>
      </c>
      <c r="N176" s="4">
        <v>149.46904204380601</v>
      </c>
      <c r="O176" s="4">
        <v>142.83891217773299</v>
      </c>
      <c r="P176" s="4">
        <v>151.187802164358</v>
      </c>
      <c r="Q176" s="4">
        <v>119.537510834492</v>
      </c>
      <c r="R176" s="4">
        <v>106.80607769344699</v>
      </c>
      <c r="S176" s="4">
        <v>124.120572775309</v>
      </c>
      <c r="T176" s="4">
        <v>191.998579258945</v>
      </c>
      <c r="U176" s="4">
        <v>161.50395766042899</v>
      </c>
      <c r="V176" s="4">
        <v>99.382099559966605</v>
      </c>
      <c r="W176" s="4">
        <v>132.770837</v>
      </c>
      <c r="X176" s="4">
        <v>3.32869090909091</v>
      </c>
      <c r="Y176" s="4">
        <v>-2.1517200655599198</v>
      </c>
    </row>
    <row r="177" spans="1:25" x14ac:dyDescent="0.3">
      <c r="A177" s="3" t="s">
        <v>75</v>
      </c>
      <c r="B177" s="4">
        <v>2990.7</v>
      </c>
      <c r="C177" s="4">
        <v>493.8</v>
      </c>
      <c r="D177" s="4">
        <v>1513.1</v>
      </c>
      <c r="E177" s="4">
        <v>5377.7</v>
      </c>
      <c r="F177" s="4">
        <v>4997.6000000000004</v>
      </c>
      <c r="G177" s="4">
        <v>3170.4</v>
      </c>
      <c r="H177" s="4">
        <v>1827.2</v>
      </c>
      <c r="I177" s="4">
        <v>7.0680774308719299</v>
      </c>
      <c r="J177" s="4">
        <v>160.87782598380301</v>
      </c>
      <c r="K177" s="4">
        <v>123.440136620685</v>
      </c>
      <c r="L177" s="4">
        <v>164.04485647366101</v>
      </c>
      <c r="M177" s="4">
        <v>82.577118447089902</v>
      </c>
      <c r="N177" s="4">
        <v>138.28883029143</v>
      </c>
      <c r="O177" s="4">
        <v>130.92898988452299</v>
      </c>
      <c r="P177" s="4">
        <v>146.26514247062701</v>
      </c>
      <c r="Q177" s="4">
        <v>118.239752945519</v>
      </c>
      <c r="R177" s="4">
        <v>118.952497287432</v>
      </c>
      <c r="S177" s="4">
        <v>117.97411467869</v>
      </c>
      <c r="T177" s="4">
        <v>183.77174062685799</v>
      </c>
      <c r="U177" s="4">
        <v>170.11923272509799</v>
      </c>
      <c r="V177" s="4">
        <v>96.717528852695906</v>
      </c>
      <c r="W177" s="4">
        <v>132.95959999999999</v>
      </c>
      <c r="X177" s="4">
        <v>3.3921600000000001</v>
      </c>
      <c r="Y177" s="4">
        <v>0.71992242187824795</v>
      </c>
    </row>
    <row r="178" spans="1:25" x14ac:dyDescent="0.3">
      <c r="A178" s="3" t="s">
        <v>76</v>
      </c>
      <c r="B178" s="4">
        <v>2907.4</v>
      </c>
      <c r="C178" s="4">
        <v>455.2</v>
      </c>
      <c r="D178" s="4">
        <v>1461.4</v>
      </c>
      <c r="E178" s="4">
        <v>5230.2</v>
      </c>
      <c r="F178" s="4">
        <v>4824</v>
      </c>
      <c r="G178" s="4">
        <v>2935.9</v>
      </c>
      <c r="H178" s="4">
        <v>1888.1</v>
      </c>
      <c r="I178" s="4">
        <v>7.7664334059883</v>
      </c>
      <c r="J178" s="4">
        <v>137.30457199550801</v>
      </c>
      <c r="K178" s="4">
        <v>144.31162787816399</v>
      </c>
      <c r="L178" s="4">
        <v>174.6930868561</v>
      </c>
      <c r="M178" s="4">
        <v>55.297608054795603</v>
      </c>
      <c r="N178" s="4">
        <v>120.056274005162</v>
      </c>
      <c r="O178" s="4">
        <v>114.205761688045</v>
      </c>
      <c r="P178" s="4">
        <v>123.897621801692</v>
      </c>
      <c r="Q178" s="4">
        <v>84.782393144279993</v>
      </c>
      <c r="R178" s="4">
        <v>96.953919747854002</v>
      </c>
      <c r="S178" s="4">
        <v>80.437788113119197</v>
      </c>
      <c r="T178" s="4">
        <v>170.75401807558501</v>
      </c>
      <c r="U178" s="4">
        <v>94.843937998040303</v>
      </c>
      <c r="V178" s="4">
        <v>93.9541894510307</v>
      </c>
      <c r="W178" s="4">
        <v>133.81851900000001</v>
      </c>
      <c r="X178" s="4">
        <v>3.4947409090909098</v>
      </c>
      <c r="Y178" s="4">
        <v>1.8834119765117301</v>
      </c>
    </row>
    <row r="179" spans="1:25" x14ac:dyDescent="0.3">
      <c r="A179" s="3" t="s">
        <v>77</v>
      </c>
      <c r="B179" s="4">
        <v>2026.1</v>
      </c>
      <c r="C179" s="4">
        <v>356.8</v>
      </c>
      <c r="D179" s="4">
        <v>1272</v>
      </c>
      <c r="E179" s="4">
        <v>4015.6</v>
      </c>
      <c r="F179" s="4">
        <v>3654.9</v>
      </c>
      <c r="G179" s="4">
        <v>2184.1</v>
      </c>
      <c r="H179" s="4">
        <v>1470.8</v>
      </c>
      <c r="I179" s="4">
        <v>8.9824683733439592</v>
      </c>
      <c r="J179" s="4">
        <v>103.26017360971601</v>
      </c>
      <c r="K179" s="4">
        <v>220.18683958977601</v>
      </c>
      <c r="L179" s="4">
        <v>175.78569058654301</v>
      </c>
      <c r="M179" s="4">
        <v>35.977083883191199</v>
      </c>
      <c r="N179" s="4">
        <v>83.120112642854806</v>
      </c>
      <c r="O179" s="4">
        <v>73.896881132049302</v>
      </c>
      <c r="P179" s="4">
        <v>113.648312669695</v>
      </c>
      <c r="Q179" s="4">
        <v>55.581633335511299</v>
      </c>
      <c r="R179" s="4">
        <v>87.972809844779505</v>
      </c>
      <c r="S179" s="4">
        <v>44.000494866143299</v>
      </c>
      <c r="T179" s="4">
        <v>136.99722493183401</v>
      </c>
      <c r="U179" s="4">
        <v>18.789068691425999</v>
      </c>
      <c r="V179" s="4">
        <v>94.052026603593504</v>
      </c>
      <c r="W179" s="4">
        <v>133.95847000000001</v>
      </c>
      <c r="X179" s="4">
        <v>3.400795</v>
      </c>
      <c r="Y179" s="4">
        <v>8.0628502904758399</v>
      </c>
    </row>
    <row r="180" spans="1:25" x14ac:dyDescent="0.3">
      <c r="A180" s="3" t="s">
        <v>78</v>
      </c>
      <c r="B180" s="4">
        <v>1261.2</v>
      </c>
      <c r="C180" s="4">
        <v>240.2</v>
      </c>
      <c r="D180" s="4">
        <v>1047.8</v>
      </c>
      <c r="E180" s="4">
        <v>2934.3</v>
      </c>
      <c r="F180" s="4">
        <v>2549.1999999999998</v>
      </c>
      <c r="G180" s="4">
        <v>1435.7</v>
      </c>
      <c r="H180" s="4">
        <v>1113.5</v>
      </c>
      <c r="I180" s="4">
        <v>13.124084108646001</v>
      </c>
      <c r="J180" s="4">
        <v>118.236010330661</v>
      </c>
      <c r="K180" s="4">
        <v>266.44614456312098</v>
      </c>
      <c r="L180" s="4">
        <v>174.84310030785801</v>
      </c>
      <c r="M180" s="4">
        <v>106.34102808125</v>
      </c>
      <c r="N180" s="4">
        <v>86.860017907377198</v>
      </c>
      <c r="O180" s="4">
        <v>78.653786569182898</v>
      </c>
      <c r="P180" s="4">
        <v>110.74760438326101</v>
      </c>
      <c r="Q180" s="4">
        <v>77.273774227590394</v>
      </c>
      <c r="R180" s="4">
        <v>121.072840997895</v>
      </c>
      <c r="S180" s="4">
        <v>61.565392962058901</v>
      </c>
      <c r="T180" s="4">
        <v>148.44123261095399</v>
      </c>
      <c r="U180" s="4">
        <v>59.714788928382703</v>
      </c>
      <c r="V180" s="4">
        <v>96.500175427059901</v>
      </c>
      <c r="W180" s="4">
        <v>134.23195100000001</v>
      </c>
      <c r="X180" s="4">
        <v>3.4235500000000001</v>
      </c>
      <c r="Y180" s="4">
        <v>5.7717726768675801</v>
      </c>
    </row>
    <row r="181" spans="1:25" x14ac:dyDescent="0.3">
      <c r="A181" s="3" t="s">
        <v>79</v>
      </c>
      <c r="B181" s="4">
        <v>1011.1</v>
      </c>
      <c r="C181" s="4">
        <v>212.1</v>
      </c>
      <c r="D181" s="4">
        <v>974.7</v>
      </c>
      <c r="E181" s="4">
        <v>2625.3</v>
      </c>
      <c r="F181" s="4">
        <v>2197.9</v>
      </c>
      <c r="G181" s="4">
        <v>1101</v>
      </c>
      <c r="H181" s="4">
        <v>1096.9000000000001</v>
      </c>
      <c r="I181" s="4">
        <v>16.280044185426402</v>
      </c>
      <c r="J181" s="4">
        <v>139.263578270403</v>
      </c>
      <c r="K181" s="4">
        <v>221.432539801535</v>
      </c>
      <c r="L181" s="4">
        <v>173.67288423915801</v>
      </c>
      <c r="M181" s="4">
        <v>211.230172863147</v>
      </c>
      <c r="N181" s="4">
        <v>129.43981226851801</v>
      </c>
      <c r="O181" s="4">
        <v>127.402565750504</v>
      </c>
      <c r="P181" s="4">
        <v>109.331404289548</v>
      </c>
      <c r="Q181" s="4">
        <v>114.09416993736799</v>
      </c>
      <c r="R181" s="4">
        <v>174.58724962760701</v>
      </c>
      <c r="S181" s="4">
        <v>92.407962140527104</v>
      </c>
      <c r="T181" s="4">
        <v>161.56154540398001</v>
      </c>
      <c r="U181" s="4">
        <v>112.835160743345</v>
      </c>
      <c r="V181" s="4">
        <v>100.4468245731</v>
      </c>
      <c r="W181" s="4">
        <v>133.874764</v>
      </c>
      <c r="X181" s="4">
        <v>3.4723999999999999</v>
      </c>
      <c r="Y181" s="4">
        <v>5.8689406496858396</v>
      </c>
    </row>
    <row r="182" spans="1:25" x14ac:dyDescent="0.3">
      <c r="A182" s="3" t="s">
        <v>80</v>
      </c>
      <c r="B182" s="4">
        <v>1599.7</v>
      </c>
      <c r="C182" s="4">
        <v>272.7</v>
      </c>
      <c r="D182" s="4">
        <v>1062.9000000000001</v>
      </c>
      <c r="E182" s="4">
        <v>3510</v>
      </c>
      <c r="F182" s="4">
        <v>2935.3</v>
      </c>
      <c r="G182" s="4">
        <v>1389.4</v>
      </c>
      <c r="H182" s="4">
        <v>1545.9</v>
      </c>
      <c r="I182" s="4">
        <v>16.373219373219399</v>
      </c>
      <c r="J182" s="4">
        <v>153.68750711263601</v>
      </c>
      <c r="K182" s="4">
        <v>154.835278896338</v>
      </c>
      <c r="L182" s="4">
        <v>176.346394373187</v>
      </c>
      <c r="M182" s="4">
        <v>111.56859643574801</v>
      </c>
      <c r="N182" s="4">
        <v>141.73934820660801</v>
      </c>
      <c r="O182" s="4">
        <v>136.59037738648601</v>
      </c>
      <c r="P182" s="4">
        <v>135.45734148543099</v>
      </c>
      <c r="Q182" s="4">
        <v>120.967087352828</v>
      </c>
      <c r="R182" s="4">
        <v>137.536629124684</v>
      </c>
      <c r="S182" s="4">
        <v>115.05725208648499</v>
      </c>
      <c r="T182" s="4">
        <v>175.67180953870101</v>
      </c>
      <c r="U182" s="4">
        <v>164.79160363234399</v>
      </c>
      <c r="V182" s="4">
        <v>103.069284424777</v>
      </c>
      <c r="W182" s="4">
        <v>134.49418700000001</v>
      </c>
      <c r="X182" s="4">
        <v>3.5186318181818201</v>
      </c>
      <c r="Y182" s="4">
        <v>3.7857336822181602</v>
      </c>
    </row>
    <row r="183" spans="1:25" x14ac:dyDescent="0.3">
      <c r="A183" s="3" t="s">
        <v>701</v>
      </c>
      <c r="B183" s="4">
        <v>2071.5</v>
      </c>
      <c r="C183" s="4">
        <v>321.5</v>
      </c>
      <c r="D183" s="4">
        <v>1218.3</v>
      </c>
      <c r="E183" s="4">
        <v>4277.1000000000004</v>
      </c>
      <c r="F183" s="4">
        <v>3611.3</v>
      </c>
      <c r="G183" s="4">
        <v>1683.5</v>
      </c>
      <c r="H183" s="4">
        <v>1927.8</v>
      </c>
      <c r="I183" s="4">
        <v>15.5666222440439</v>
      </c>
      <c r="J183" s="4">
        <v>156.60971483016499</v>
      </c>
      <c r="K183" s="4">
        <v>125.22369549302699</v>
      </c>
      <c r="L183" s="4">
        <v>170.68099765701601</v>
      </c>
      <c r="M183" s="4">
        <v>60.501515383014898</v>
      </c>
      <c r="N183" s="4">
        <v>144.76056383174901</v>
      </c>
      <c r="O183" s="4">
        <v>140.81501651115099</v>
      </c>
      <c r="P183" s="4">
        <v>131.03375646970699</v>
      </c>
      <c r="Q183" s="4">
        <v>116.369398964917</v>
      </c>
      <c r="R183" s="4">
        <v>106.86977807652499</v>
      </c>
      <c r="S183" s="4">
        <v>119.723542882375</v>
      </c>
      <c r="T183" s="4">
        <v>180.67274150275699</v>
      </c>
      <c r="U183" s="4">
        <v>184.80924046368199</v>
      </c>
      <c r="V183" s="4">
        <v>108.127676846089</v>
      </c>
      <c r="W183" s="4">
        <v>134.345922</v>
      </c>
      <c r="X183" s="4">
        <v>3.5654761904761898</v>
      </c>
      <c r="Y183" s="4">
        <v>1.7031258153038</v>
      </c>
    </row>
    <row r="184" spans="1:25" x14ac:dyDescent="0.3">
      <c r="A184" s="3" t="s">
        <v>705</v>
      </c>
      <c r="B184" s="4">
        <v>2263.1</v>
      </c>
      <c r="C184" s="4">
        <v>314</v>
      </c>
      <c r="D184" s="4">
        <v>1172.8</v>
      </c>
      <c r="E184" s="4">
        <v>4492.6000000000004</v>
      </c>
      <c r="F184" s="4">
        <v>3749.9</v>
      </c>
      <c r="G184" s="4">
        <v>1686.6</v>
      </c>
      <c r="H184" s="4">
        <v>2063.3000000000002</v>
      </c>
      <c r="I184" s="4">
        <v>16.5316297912122</v>
      </c>
      <c r="J184" s="4">
        <v>161.59246652982699</v>
      </c>
      <c r="K184" s="4">
        <v>126.808048351613</v>
      </c>
      <c r="L184" s="4">
        <v>167.922111501823</v>
      </c>
      <c r="M184" s="4">
        <v>61.029817351134099</v>
      </c>
      <c r="N184" s="4">
        <v>136.82462949632401</v>
      </c>
      <c r="O184" s="4">
        <v>132.384915843203</v>
      </c>
      <c r="P184" s="4">
        <v>127.85027908995001</v>
      </c>
      <c r="Q184" s="4">
        <v>123.695437992542</v>
      </c>
      <c r="R184" s="4">
        <v>112.722945878039</v>
      </c>
      <c r="S184" s="4">
        <v>127.58898367467501</v>
      </c>
      <c r="T184" s="4">
        <v>177.03499670793499</v>
      </c>
      <c r="U184" s="4">
        <v>208.906670605237</v>
      </c>
      <c r="V184" s="4">
        <v>110.71990762199501</v>
      </c>
      <c r="W184" s="4">
        <v>134.52910800000001</v>
      </c>
      <c r="X184" s="4">
        <v>3.5564954545454599</v>
      </c>
      <c r="Y184" s="4">
        <v>-0.64085673810464205</v>
      </c>
    </row>
    <row r="185" spans="1:25" x14ac:dyDescent="0.3">
      <c r="A185" s="3" t="s">
        <v>706</v>
      </c>
      <c r="B185" s="4">
        <v>2385.1999999999998</v>
      </c>
      <c r="C185" s="4">
        <v>312.7</v>
      </c>
      <c r="D185" s="4">
        <v>1174.9000000000001</v>
      </c>
      <c r="E185" s="4">
        <v>4634.2</v>
      </c>
      <c r="F185" s="4">
        <v>3872.8</v>
      </c>
      <c r="G185" s="4">
        <v>1776.6</v>
      </c>
      <c r="H185" s="4">
        <v>2096.15</v>
      </c>
      <c r="I185" s="4">
        <v>16.430020283975701</v>
      </c>
      <c r="J185" s="4">
        <v>170.02241305377399</v>
      </c>
      <c r="K185" s="4">
        <v>140.86934493466501</v>
      </c>
      <c r="L185" s="4">
        <v>169.37624978617501</v>
      </c>
      <c r="M185" s="4">
        <v>72.996517170090897</v>
      </c>
      <c r="N185" s="4">
        <v>152.86274798633599</v>
      </c>
      <c r="O185" s="4">
        <v>149.85551093422299</v>
      </c>
      <c r="P185" s="4">
        <v>131.846470813991</v>
      </c>
      <c r="Q185" s="4">
        <v>132.51358665833499</v>
      </c>
      <c r="R185" s="4">
        <v>125.281315500785</v>
      </c>
      <c r="S185" s="4">
        <v>135.05471372573999</v>
      </c>
      <c r="T185" s="4">
        <v>187.45990059967301</v>
      </c>
      <c r="U185" s="4">
        <v>256.24088897880301</v>
      </c>
      <c r="V185" s="4">
        <v>108.372528492082</v>
      </c>
      <c r="W185" s="4">
        <v>134.55167599999999</v>
      </c>
      <c r="X185" s="4">
        <v>3.5971227272727302</v>
      </c>
      <c r="Y185" s="4">
        <v>1.92015013278376</v>
      </c>
    </row>
    <row r="186" spans="1:25" x14ac:dyDescent="0.3">
      <c r="A186" s="3" t="s">
        <v>707</v>
      </c>
      <c r="B186" s="4">
        <v>2660.3</v>
      </c>
      <c r="C186" s="4">
        <v>314</v>
      </c>
      <c r="D186" s="4">
        <v>1168.4000000000001</v>
      </c>
      <c r="E186" s="4">
        <v>4881</v>
      </c>
      <c r="F186" s="4">
        <v>4142.7</v>
      </c>
      <c r="G186" s="4">
        <v>2080.6999999999998</v>
      </c>
      <c r="H186" s="4">
        <v>2062</v>
      </c>
      <c r="I186" s="4">
        <v>15.125998770743699</v>
      </c>
      <c r="J186" s="4">
        <v>170.06773497574201</v>
      </c>
      <c r="K186" s="4">
        <v>136.949951524363</v>
      </c>
      <c r="L186" s="4">
        <v>169.88233959535799</v>
      </c>
      <c r="M186" s="4">
        <v>147.69788317805799</v>
      </c>
      <c r="N186" s="4">
        <v>154.57980667644699</v>
      </c>
      <c r="O186" s="4">
        <v>151.131660990272</v>
      </c>
      <c r="P186" s="4">
        <v>135.34839617442</v>
      </c>
      <c r="Q186" s="4">
        <v>131.33224007518601</v>
      </c>
      <c r="R186" s="4">
        <v>142.10149985587299</v>
      </c>
      <c r="S186" s="4">
        <v>127.437907044618</v>
      </c>
      <c r="T186" s="4">
        <v>184.30696550946899</v>
      </c>
      <c r="U186" s="4">
        <v>249.988017629045</v>
      </c>
      <c r="V186" s="4">
        <v>112.41257481706801</v>
      </c>
      <c r="W186" s="4">
        <v>135.25199000000001</v>
      </c>
      <c r="X186" s="4">
        <v>3.6101190476190501</v>
      </c>
      <c r="Y186" s="4">
        <v>0.17287097964488499</v>
      </c>
    </row>
    <row r="187" spans="1:25" x14ac:dyDescent="0.3">
      <c r="A187" s="3" t="s">
        <v>708</v>
      </c>
      <c r="B187" s="4">
        <v>2804.4</v>
      </c>
      <c r="C187" s="4">
        <v>342.2</v>
      </c>
      <c r="D187" s="4">
        <v>1209.3</v>
      </c>
      <c r="E187" s="4">
        <v>5055.5</v>
      </c>
      <c r="F187" s="4">
        <v>4355.8</v>
      </c>
      <c r="G187" s="4">
        <v>2280.6</v>
      </c>
      <c r="H187" s="4">
        <v>2075.1999999999998</v>
      </c>
      <c r="I187" s="4">
        <v>13.8403718722184</v>
      </c>
      <c r="J187" s="4">
        <v>191.41249264363</v>
      </c>
      <c r="K187" s="4">
        <v>135.253215042069</v>
      </c>
      <c r="L187" s="4">
        <v>175.75414710541</v>
      </c>
      <c r="M187" s="4">
        <v>220.24693145661601</v>
      </c>
      <c r="N187" s="4">
        <v>163.02445424433901</v>
      </c>
      <c r="O187" s="4">
        <v>160.802406719467</v>
      </c>
      <c r="P187" s="4">
        <v>135.106591641173</v>
      </c>
      <c r="Q187" s="4">
        <v>143.935857011872</v>
      </c>
      <c r="R187" s="4">
        <v>187.38353030219099</v>
      </c>
      <c r="S187" s="4">
        <v>128.471147894159</v>
      </c>
      <c r="T187" s="4">
        <v>190.64950074255799</v>
      </c>
      <c r="U187" s="4">
        <v>339.32305514922501</v>
      </c>
      <c r="V187" s="4">
        <v>114.458878429213</v>
      </c>
      <c r="W187" s="4">
        <v>135.317902</v>
      </c>
      <c r="X187" s="4">
        <v>3.6041571428571402</v>
      </c>
      <c r="Y187" s="4">
        <v>5.5623035129157401</v>
      </c>
    </row>
    <row r="188" spans="1:25" x14ac:dyDescent="0.3">
      <c r="A188" s="3" t="s">
        <v>709</v>
      </c>
      <c r="B188" s="4">
        <v>2896.2</v>
      </c>
      <c r="C188" s="4">
        <v>373</v>
      </c>
      <c r="D188" s="4">
        <v>1169.3</v>
      </c>
      <c r="E188" s="4">
        <v>5102.5</v>
      </c>
      <c r="F188" s="4">
        <v>4438.6000000000004</v>
      </c>
      <c r="G188" s="4">
        <v>2380.6</v>
      </c>
      <c r="H188" s="4">
        <v>2058</v>
      </c>
      <c r="I188" s="4">
        <v>13.0112689857913</v>
      </c>
      <c r="J188" s="4">
        <v>160.57121405133</v>
      </c>
      <c r="K188" s="4">
        <v>128.76419906976801</v>
      </c>
      <c r="L188" s="4">
        <v>169.95162998645199</v>
      </c>
      <c r="M188" s="4">
        <v>133.36716165549399</v>
      </c>
      <c r="N188" s="4">
        <v>136.841932865589</v>
      </c>
      <c r="O188" s="4">
        <v>132.74655094906601</v>
      </c>
      <c r="P188" s="4">
        <v>127.66298014758399</v>
      </c>
      <c r="Q188" s="4">
        <v>128.42620969720301</v>
      </c>
      <c r="R188" s="4">
        <v>134.80715133076501</v>
      </c>
      <c r="S188" s="4">
        <v>126.13829378145</v>
      </c>
      <c r="T188" s="4">
        <v>191.82279415138001</v>
      </c>
      <c r="U188" s="4">
        <v>187.755793683072</v>
      </c>
      <c r="V188" s="4">
        <v>117.3477769893</v>
      </c>
      <c r="W188" s="4">
        <v>136.32318100000001</v>
      </c>
      <c r="X188" s="4">
        <v>3.6258599999999999</v>
      </c>
      <c r="Y188" s="4">
        <v>5.3149472024205702</v>
      </c>
    </row>
    <row r="189" spans="1:25" x14ac:dyDescent="0.3">
      <c r="A189" s="3" t="s">
        <v>710</v>
      </c>
      <c r="B189" s="4">
        <v>2743.2</v>
      </c>
      <c r="C189" s="4">
        <v>381.9</v>
      </c>
      <c r="D189" s="4">
        <v>1110.0999999999999</v>
      </c>
      <c r="E189" s="4">
        <v>4952.8999999999996</v>
      </c>
      <c r="F189" s="4">
        <v>4235.2</v>
      </c>
      <c r="G189" s="4">
        <v>2084.9</v>
      </c>
      <c r="H189" s="4">
        <v>2150.3000000000002</v>
      </c>
      <c r="I189" s="4">
        <v>14.4905005148499</v>
      </c>
      <c r="J189" s="4">
        <v>155.086224248386</v>
      </c>
      <c r="K189" s="4">
        <v>123.074878093534</v>
      </c>
      <c r="L189" s="4">
        <v>162.107918823402</v>
      </c>
      <c r="M189" s="4">
        <v>88.183990485889197</v>
      </c>
      <c r="N189" s="4">
        <v>132.20191508761101</v>
      </c>
      <c r="O189" s="4">
        <v>129.58231016082399</v>
      </c>
      <c r="P189" s="4">
        <v>115.798113293995</v>
      </c>
      <c r="Q189" s="4">
        <v>118.41665226472</v>
      </c>
      <c r="R189" s="4">
        <v>113.268021831929</v>
      </c>
      <c r="S189" s="4">
        <v>120.244622395679</v>
      </c>
      <c r="T189" s="4">
        <v>175.265669844836</v>
      </c>
      <c r="U189" s="4">
        <v>195.389247906268</v>
      </c>
      <c r="V189" s="4">
        <v>115.301143365765</v>
      </c>
      <c r="W189" s="4">
        <v>136.15241499999999</v>
      </c>
      <c r="X189" s="4">
        <v>3.6463649999999999</v>
      </c>
      <c r="Y189" s="4">
        <v>-0.69530246520773498</v>
      </c>
    </row>
    <row r="190" spans="1:25" x14ac:dyDescent="0.3">
      <c r="A190" s="3" t="s">
        <v>711</v>
      </c>
      <c r="B190" s="4">
        <v>2674.6</v>
      </c>
      <c r="C190" s="4">
        <v>370.4</v>
      </c>
      <c r="D190" s="4">
        <v>1072.0999999999999</v>
      </c>
      <c r="E190" s="4">
        <v>4859.6000000000004</v>
      </c>
      <c r="F190" s="4">
        <v>4117.1000000000004</v>
      </c>
      <c r="G190" s="4">
        <v>1993.8</v>
      </c>
      <c r="H190" s="4">
        <v>2123.3000000000002</v>
      </c>
      <c r="I190" s="4">
        <v>15.2790353115483</v>
      </c>
      <c r="J190" s="4">
        <v>164.86159959500699</v>
      </c>
      <c r="K190" s="4">
        <v>141.33648048660601</v>
      </c>
      <c r="L190" s="4">
        <v>173.96730760301801</v>
      </c>
      <c r="M190" s="4">
        <v>75.058342501809804</v>
      </c>
      <c r="N190" s="4">
        <v>138.68886035901201</v>
      </c>
      <c r="O190" s="4">
        <v>137.74686193748701</v>
      </c>
      <c r="P190" s="4">
        <v>111.40874152408099</v>
      </c>
      <c r="Q190" s="4">
        <v>128.16392531347</v>
      </c>
      <c r="R190" s="4">
        <v>119.966746814318</v>
      </c>
      <c r="S190" s="4">
        <v>131.083210362572</v>
      </c>
      <c r="T190" s="4">
        <v>194.68623231416299</v>
      </c>
      <c r="U190" s="4">
        <v>222.14455032983901</v>
      </c>
      <c r="V190" s="4">
        <v>113.84154526546099</v>
      </c>
      <c r="W190" s="4">
        <v>137.29537199999999</v>
      </c>
      <c r="X190" s="4">
        <v>3.7110217391304299</v>
      </c>
      <c r="Y190" s="4">
        <v>-0.41435176943999402</v>
      </c>
    </row>
    <row r="191" spans="1:25" x14ac:dyDescent="0.3">
      <c r="A191" s="3" t="s">
        <v>712</v>
      </c>
      <c r="B191" s="4">
        <v>2633.5</v>
      </c>
      <c r="C191" s="4">
        <v>361.6</v>
      </c>
      <c r="D191" s="4">
        <v>1114.4000000000001</v>
      </c>
      <c r="E191" s="4">
        <v>4841.1000000000004</v>
      </c>
      <c r="F191" s="4">
        <v>4109.5</v>
      </c>
      <c r="G191" s="4">
        <v>1954.8</v>
      </c>
      <c r="H191" s="4">
        <v>2154.6999999999998</v>
      </c>
      <c r="I191" s="4">
        <v>15.1122678730041</v>
      </c>
      <c r="J191" s="4">
        <v>164.30758824778101</v>
      </c>
      <c r="K191" s="4">
        <v>205.71178578867699</v>
      </c>
      <c r="L191" s="4">
        <v>176.378432453833</v>
      </c>
      <c r="M191" s="4">
        <v>86.728948680412898</v>
      </c>
      <c r="N191" s="4">
        <v>131.337891552851</v>
      </c>
      <c r="O191" s="4">
        <v>130.574334777438</v>
      </c>
      <c r="P191" s="4">
        <v>104.39923468309701</v>
      </c>
      <c r="Q191" s="4">
        <v>119.852663719002</v>
      </c>
      <c r="R191" s="4">
        <v>116.364686939367</v>
      </c>
      <c r="S191" s="4">
        <v>121.099552572307</v>
      </c>
      <c r="T191" s="4">
        <v>183.529779264616</v>
      </c>
      <c r="U191" s="4">
        <v>204.80588304791399</v>
      </c>
      <c r="V191" s="4">
        <v>112.09169805034</v>
      </c>
      <c r="W191" s="4">
        <v>137.151635</v>
      </c>
      <c r="X191" s="4">
        <v>3.7015850000000001</v>
      </c>
      <c r="Y191" s="4">
        <v>-0.12474481055608699</v>
      </c>
    </row>
    <row r="192" spans="1:25" x14ac:dyDescent="0.3">
      <c r="A192" s="3" t="s">
        <v>713</v>
      </c>
      <c r="B192" s="4">
        <v>2867.2</v>
      </c>
      <c r="C192" s="4">
        <v>371.5</v>
      </c>
      <c r="D192" s="4">
        <v>1170.4000000000001</v>
      </c>
      <c r="E192" s="4">
        <v>5012</v>
      </c>
      <c r="F192" s="4">
        <v>4409.1000000000004</v>
      </c>
      <c r="G192" s="4">
        <v>2195.9</v>
      </c>
      <c r="H192" s="4">
        <v>2213.1999999999998</v>
      </c>
      <c r="I192" s="4">
        <v>12.0291300877893</v>
      </c>
      <c r="J192" s="4">
        <v>175.46223933070101</v>
      </c>
      <c r="K192" s="4">
        <v>246.55938799508499</v>
      </c>
      <c r="L192" s="4">
        <v>178.642781656247</v>
      </c>
      <c r="M192" s="4">
        <v>210.13043756056501</v>
      </c>
      <c r="N192" s="4">
        <v>145.122452212555</v>
      </c>
      <c r="O192" s="4">
        <v>143.707292476872</v>
      </c>
      <c r="P192" s="4">
        <v>118.128026236797</v>
      </c>
      <c r="Q192" s="4">
        <v>142.203997492394</v>
      </c>
      <c r="R192" s="4">
        <v>186.59131098224199</v>
      </c>
      <c r="S192" s="4">
        <v>126.315003822042</v>
      </c>
      <c r="T192" s="4">
        <v>190.69604120194401</v>
      </c>
      <c r="U192" s="4">
        <v>213.85437182175599</v>
      </c>
      <c r="V192" s="4">
        <v>117.219469301852</v>
      </c>
      <c r="W192" s="4">
        <v>137.517223</v>
      </c>
      <c r="X192" s="4">
        <v>3.7758523809523798</v>
      </c>
      <c r="Y192" s="4">
        <v>1.67442359291716</v>
      </c>
    </row>
    <row r="193" spans="1:25" x14ac:dyDescent="0.3">
      <c r="A193" s="3" t="s">
        <v>714</v>
      </c>
      <c r="B193" s="4">
        <v>3028.1</v>
      </c>
      <c r="C193" s="4">
        <v>362</v>
      </c>
      <c r="D193" s="4">
        <v>1184.8</v>
      </c>
      <c r="E193" s="4">
        <v>5101.5</v>
      </c>
      <c r="F193" s="4">
        <v>4574.93</v>
      </c>
      <c r="G193" s="4">
        <v>2299.13</v>
      </c>
      <c r="H193" s="4">
        <v>2275.8000000000002</v>
      </c>
      <c r="I193" s="4">
        <v>10.321866117808501</v>
      </c>
      <c r="J193" s="4">
        <v>172.07407731091001</v>
      </c>
      <c r="K193" s="4">
        <v>257.18877462864998</v>
      </c>
      <c r="L193" s="4">
        <v>177.923350076226</v>
      </c>
      <c r="M193" s="4">
        <v>131.61033357113399</v>
      </c>
      <c r="N193" s="4">
        <v>139.61262438991</v>
      </c>
      <c r="O193" s="4">
        <v>136.597955350262</v>
      </c>
      <c r="P193" s="4">
        <v>122.374882906571</v>
      </c>
      <c r="Q193" s="4">
        <v>135.17752564327</v>
      </c>
      <c r="R193" s="4">
        <v>155.12048694874099</v>
      </c>
      <c r="S193" s="4">
        <v>128.18234430422899</v>
      </c>
      <c r="T193" s="4">
        <v>185.924347020553</v>
      </c>
      <c r="U193" s="4">
        <v>214.72221620159499</v>
      </c>
      <c r="V193" s="4">
        <v>118.486854564876</v>
      </c>
      <c r="W193" s="4">
        <v>138.23186100000001</v>
      </c>
      <c r="X193" s="4">
        <v>3.91391904761905</v>
      </c>
      <c r="Y193" s="4">
        <v>0.90574603895850703</v>
      </c>
    </row>
    <row r="194" spans="1:25" x14ac:dyDescent="0.3">
      <c r="A194" s="3" t="s">
        <v>715</v>
      </c>
      <c r="B194" s="4">
        <v>3102.6</v>
      </c>
      <c r="C194" s="4">
        <v>363.8</v>
      </c>
      <c r="D194" s="4">
        <v>1199.5999999999999</v>
      </c>
      <c r="E194" s="4">
        <v>5149.6000000000004</v>
      </c>
      <c r="F194" s="4">
        <v>4666</v>
      </c>
      <c r="G194" s="4">
        <v>2421.6999999999998</v>
      </c>
      <c r="H194" s="4">
        <v>2244.3000000000002</v>
      </c>
      <c r="I194" s="4">
        <v>9.3910206617989793</v>
      </c>
      <c r="J194" s="4">
        <v>173.45172052732099</v>
      </c>
      <c r="K194" s="4">
        <v>181.852505709463</v>
      </c>
      <c r="L194" s="4">
        <v>181.74816167572499</v>
      </c>
      <c r="M194" s="4">
        <v>65.390425965798102</v>
      </c>
      <c r="N194" s="4">
        <v>140.45347367566001</v>
      </c>
      <c r="O194" s="4">
        <v>138.518801617332</v>
      </c>
      <c r="P194" s="4">
        <v>116.98611971733099</v>
      </c>
      <c r="Q194" s="4">
        <v>129.668325057684</v>
      </c>
      <c r="R194" s="4">
        <v>118.98244068864101</v>
      </c>
      <c r="S194" s="4">
        <v>133.59986795023801</v>
      </c>
      <c r="T194" s="4">
        <v>187.78812051693799</v>
      </c>
      <c r="U194" s="4">
        <v>225.02202551753001</v>
      </c>
      <c r="V194" s="4">
        <v>113.628427481126</v>
      </c>
      <c r="W194" s="4">
        <v>139.62460100000001</v>
      </c>
      <c r="X194" s="4">
        <v>3.9444949999999999</v>
      </c>
      <c r="Y194" s="4">
        <v>4.7361981290607202</v>
      </c>
    </row>
    <row r="195" spans="1:25" x14ac:dyDescent="0.3">
      <c r="A195" s="3" t="s">
        <v>716</v>
      </c>
      <c r="B195" s="4">
        <v>3077.7</v>
      </c>
      <c r="C195" s="4">
        <v>367.9</v>
      </c>
      <c r="D195" s="4">
        <v>1200.7</v>
      </c>
      <c r="E195" s="4">
        <v>5136.2</v>
      </c>
      <c r="F195" s="4">
        <v>4646.3</v>
      </c>
      <c r="G195" s="4">
        <v>2428.5</v>
      </c>
      <c r="H195" s="4">
        <v>2217.8000000000002</v>
      </c>
      <c r="I195" s="4">
        <v>9.5381799774152096</v>
      </c>
      <c r="J195" s="4">
        <v>174.94871243677801</v>
      </c>
      <c r="K195" s="4">
        <v>138.315106858268</v>
      </c>
      <c r="L195" s="4">
        <v>177.054203583473</v>
      </c>
      <c r="M195" s="4">
        <v>42.394431966088497</v>
      </c>
      <c r="N195" s="4">
        <v>149.44597144692199</v>
      </c>
      <c r="O195" s="4">
        <v>148.16231126007699</v>
      </c>
      <c r="P195" s="4">
        <v>120.09138391801901</v>
      </c>
      <c r="Q195" s="4">
        <v>129.452491029881</v>
      </c>
      <c r="R195" s="4">
        <v>107.113974227656</v>
      </c>
      <c r="S195" s="4">
        <v>137.39957248345999</v>
      </c>
      <c r="T195" s="4">
        <v>191.49745817998999</v>
      </c>
      <c r="U195" s="4">
        <v>231.33272792703201</v>
      </c>
      <c r="V195" s="4">
        <v>114.55105582247199</v>
      </c>
      <c r="W195" s="4">
        <v>140.99981299999999</v>
      </c>
      <c r="X195" s="4">
        <v>4.0888952380952404</v>
      </c>
      <c r="Y195" s="4">
        <v>0.14828338746871</v>
      </c>
    </row>
    <row r="196" spans="1:25" x14ac:dyDescent="0.3">
      <c r="A196" s="3" t="s">
        <v>717</v>
      </c>
      <c r="B196" s="4">
        <v>3053.8</v>
      </c>
      <c r="C196" s="4">
        <v>394.6</v>
      </c>
      <c r="D196" s="4">
        <v>1206.9000000000001</v>
      </c>
      <c r="E196" s="4">
        <v>5170.8999999999996</v>
      </c>
      <c r="F196" s="4">
        <v>4655.3</v>
      </c>
      <c r="G196" s="4">
        <v>2486.3000000000002</v>
      </c>
      <c r="H196" s="4">
        <v>2169</v>
      </c>
      <c r="I196" s="4">
        <v>9.9731187994352997</v>
      </c>
      <c r="J196" s="4">
        <v>177.49316523636199</v>
      </c>
      <c r="K196" s="4">
        <v>150.44692832205001</v>
      </c>
      <c r="L196" s="4">
        <v>173.57175916519401</v>
      </c>
      <c r="M196" s="4">
        <v>37.1210331774436</v>
      </c>
      <c r="N196" s="4">
        <v>151.86418631421199</v>
      </c>
      <c r="O196" s="4">
        <v>148.577591455424</v>
      </c>
      <c r="P196" s="4">
        <v>132.98709711829699</v>
      </c>
      <c r="Q196" s="4">
        <v>132.02486453756799</v>
      </c>
      <c r="R196" s="4">
        <v>100.018586022204</v>
      </c>
      <c r="S196" s="4">
        <v>143.43436600231001</v>
      </c>
      <c r="T196" s="4">
        <v>187.52674151969899</v>
      </c>
      <c r="U196" s="4">
        <v>236.05597438125801</v>
      </c>
      <c r="V196" s="4">
        <v>114.626858285247</v>
      </c>
      <c r="W196" s="4">
        <v>141.56440799999999</v>
      </c>
      <c r="X196" s="4">
        <v>4.1089318181818202</v>
      </c>
      <c r="Y196" s="4">
        <v>0.19685801999104399</v>
      </c>
    </row>
    <row r="197" spans="1:25" x14ac:dyDescent="0.3">
      <c r="A197" s="3" t="s">
        <v>718</v>
      </c>
      <c r="B197" s="4">
        <v>3092.6</v>
      </c>
      <c r="C197" s="4">
        <v>430</v>
      </c>
      <c r="D197" s="4">
        <v>1191.9000000000001</v>
      </c>
      <c r="E197" s="4">
        <v>5214.8999999999996</v>
      </c>
      <c r="F197" s="4">
        <v>4714.3999999999996</v>
      </c>
      <c r="G197" s="4">
        <v>2481.1</v>
      </c>
      <c r="H197" s="4">
        <v>2233.4490000000001</v>
      </c>
      <c r="I197" s="4">
        <v>9.5974994726648593</v>
      </c>
      <c r="J197" s="4">
        <v>177.74143060641501</v>
      </c>
      <c r="K197" s="4">
        <v>149.92085230375099</v>
      </c>
      <c r="L197" s="4">
        <v>175.30612385375699</v>
      </c>
      <c r="M197" s="4">
        <v>48.801483747076603</v>
      </c>
      <c r="N197" s="4">
        <v>155.084634020001</v>
      </c>
      <c r="O197" s="4">
        <v>150.62989845394799</v>
      </c>
      <c r="P197" s="4">
        <v>141.38892860814099</v>
      </c>
      <c r="Q197" s="4">
        <v>130.61025986880799</v>
      </c>
      <c r="R197" s="4">
        <v>103.098254123871</v>
      </c>
      <c r="S197" s="4">
        <v>140.40055051059099</v>
      </c>
      <c r="T197" s="4">
        <v>193.70884472425999</v>
      </c>
      <c r="U197" s="4">
        <v>251.05819276840501</v>
      </c>
      <c r="V197" s="4">
        <v>117.471628161713</v>
      </c>
      <c r="W197" s="4">
        <v>142.39067</v>
      </c>
      <c r="X197" s="4">
        <v>4.0149999999999997</v>
      </c>
      <c r="Y197" s="4">
        <v>0.47676702922325997</v>
      </c>
    </row>
    <row r="198" spans="1:25" x14ac:dyDescent="0.3">
      <c r="A198" s="3" t="s">
        <v>719</v>
      </c>
      <c r="B198" s="4">
        <v>3214.6</v>
      </c>
      <c r="C198" s="4">
        <v>423.1</v>
      </c>
      <c r="D198" s="4">
        <v>1175.2</v>
      </c>
      <c r="E198" s="4">
        <v>5294.2</v>
      </c>
      <c r="F198" s="4">
        <v>4812.8</v>
      </c>
      <c r="G198" s="4">
        <v>2560.6</v>
      </c>
      <c r="H198" s="4">
        <v>2252.1999999999998</v>
      </c>
      <c r="I198" s="4">
        <v>9.0929696649163194</v>
      </c>
      <c r="J198" s="4">
        <v>176.071126020386</v>
      </c>
      <c r="K198" s="4">
        <v>139.59274928937401</v>
      </c>
      <c r="L198" s="4">
        <v>175.51156556768501</v>
      </c>
      <c r="M198" s="4">
        <v>166.949668106345</v>
      </c>
      <c r="N198" s="4">
        <v>146.47418171313501</v>
      </c>
      <c r="O198" s="4">
        <v>142.36905228261301</v>
      </c>
      <c r="P198" s="4">
        <v>132.80851414323499</v>
      </c>
      <c r="Q198" s="4">
        <v>136.565052313194</v>
      </c>
      <c r="R198" s="4">
        <v>129.54209581951</v>
      </c>
      <c r="S198" s="4">
        <v>139.03305450218301</v>
      </c>
      <c r="T198" s="4">
        <v>190.07009741082501</v>
      </c>
      <c r="U198" s="4">
        <v>236.042083588824</v>
      </c>
      <c r="V198" s="4">
        <v>116.971334974424</v>
      </c>
      <c r="W198" s="4">
        <v>142.90069</v>
      </c>
      <c r="X198" s="4">
        <v>4.0216619047619098</v>
      </c>
      <c r="Y198" s="4">
        <v>-0.487634983348192</v>
      </c>
    </row>
    <row r="199" spans="1:25" x14ac:dyDescent="0.3">
      <c r="A199" s="3" t="s">
        <v>720</v>
      </c>
      <c r="B199" s="4">
        <v>3255.5</v>
      </c>
      <c r="C199" s="4">
        <v>439</v>
      </c>
      <c r="D199" s="4">
        <v>1214.8</v>
      </c>
      <c r="E199" s="4">
        <v>5326.5</v>
      </c>
      <c r="F199" s="4">
        <v>4909.3</v>
      </c>
      <c r="G199" s="4">
        <v>2640.5</v>
      </c>
      <c r="H199" s="4">
        <v>2268.8000000000002</v>
      </c>
      <c r="I199" s="4">
        <v>7.8</v>
      </c>
      <c r="J199" s="4">
        <v>194.70478751709999</v>
      </c>
      <c r="K199" s="4">
        <v>154.09111326684001</v>
      </c>
      <c r="L199" s="4">
        <v>180.64545836581701</v>
      </c>
      <c r="M199" s="4">
        <v>192.49213064332901</v>
      </c>
      <c r="N199" s="4">
        <v>153.128221606908</v>
      </c>
      <c r="O199" s="4">
        <v>149.375401044998</v>
      </c>
      <c r="P199" s="4">
        <v>135.977096998115</v>
      </c>
      <c r="Q199" s="4">
        <v>146.016298091609</v>
      </c>
      <c r="R199" s="4">
        <v>162.395678701614</v>
      </c>
      <c r="S199" s="4">
        <v>140.22378219305301</v>
      </c>
      <c r="T199" s="4">
        <v>195.45675250488301</v>
      </c>
      <c r="U199" s="4">
        <v>309.13198519698801</v>
      </c>
      <c r="V199" s="4">
        <v>113.63252896113799</v>
      </c>
      <c r="W199" s="4">
        <v>144.01936699999999</v>
      </c>
      <c r="X199" s="4">
        <v>4.0387863636363601</v>
      </c>
      <c r="Y199" s="4">
        <v>3.4760019211185602</v>
      </c>
    </row>
    <row r="200" spans="1:25" x14ac:dyDescent="0.3">
      <c r="A200" s="3" t="s">
        <v>721</v>
      </c>
      <c r="B200" s="4">
        <v>3209.8</v>
      </c>
      <c r="C200" s="4">
        <v>424.2</v>
      </c>
      <c r="D200" s="4">
        <v>1227.8</v>
      </c>
      <c r="E200" s="4">
        <v>5320.4</v>
      </c>
      <c r="F200" s="4">
        <v>4861.8999999999996</v>
      </c>
      <c r="G200" s="4">
        <v>2660</v>
      </c>
      <c r="H200" s="4">
        <v>2201.9</v>
      </c>
      <c r="I200" s="4">
        <v>8.6</v>
      </c>
      <c r="J200" s="4">
        <v>165.15714288721799</v>
      </c>
      <c r="K200" s="4">
        <v>136.76637798335199</v>
      </c>
      <c r="L200" s="4">
        <v>175.61002731291001</v>
      </c>
      <c r="M200" s="4">
        <v>92.996509093910603</v>
      </c>
      <c r="N200" s="4">
        <v>143.043034742077</v>
      </c>
      <c r="O200" s="4">
        <v>137.535574898292</v>
      </c>
      <c r="P200" s="4">
        <v>140.124397594963</v>
      </c>
      <c r="Q200" s="4">
        <v>126.414038802891</v>
      </c>
      <c r="R200" s="4">
        <v>125.586022683122</v>
      </c>
      <c r="S200" s="4">
        <v>126.71555499416399</v>
      </c>
      <c r="T200" s="4">
        <v>197.67338937299701</v>
      </c>
      <c r="U200" s="4">
        <v>186.64803450034199</v>
      </c>
      <c r="V200" s="4"/>
      <c r="W200" s="4"/>
      <c r="X200" s="4">
        <v>3.8898000000000001</v>
      </c>
      <c r="Y200" s="4">
        <v>-1.94693024622862</v>
      </c>
    </row>
    <row r="201" spans="1:25" x14ac:dyDescent="0.3">
      <c r="A201" s="3" t="s">
        <v>722</v>
      </c>
      <c r="B201" s="4">
        <v>3166.4</v>
      </c>
      <c r="C201" s="4">
        <v>433.8</v>
      </c>
      <c r="D201" s="4">
        <v>1277.9000000000001</v>
      </c>
      <c r="E201" s="4">
        <v>5354.8</v>
      </c>
      <c r="F201" s="4">
        <v>4878.2</v>
      </c>
      <c r="G201" s="4">
        <v>2680.4</v>
      </c>
      <c r="H201" s="4">
        <v>2197.8000000000002</v>
      </c>
      <c r="I201" s="4">
        <v>8.9004257862104996</v>
      </c>
      <c r="J201" s="4">
        <v>162.716466481407</v>
      </c>
      <c r="K201" s="4">
        <v>126.26407565987201</v>
      </c>
      <c r="L201" s="4">
        <v>167.55138903445999</v>
      </c>
      <c r="M201" s="4">
        <v>69.597341003955805</v>
      </c>
      <c r="N201" s="4">
        <v>132.28321722227599</v>
      </c>
      <c r="O201" s="4">
        <v>126.887088393431</v>
      </c>
      <c r="P201" s="4">
        <v>130.97312937687599</v>
      </c>
      <c r="Q201" s="4">
        <v>121.912463057097</v>
      </c>
      <c r="R201" s="4">
        <v>104.983430656276</v>
      </c>
      <c r="S201" s="4">
        <v>127.948107470511</v>
      </c>
      <c r="T201" s="4">
        <v>182.90725305007101</v>
      </c>
      <c r="U201" s="4">
        <v>190.44589993423901</v>
      </c>
      <c r="V201" s="4"/>
      <c r="W201" s="4"/>
      <c r="X201" s="4">
        <v>3.7937599999999998</v>
      </c>
      <c r="Y201" s="4">
        <v>-2.26639696745805</v>
      </c>
    </row>
    <row r="202" spans="1:25" x14ac:dyDescent="0.3">
      <c r="A202" s="3" t="s">
        <v>723</v>
      </c>
      <c r="B202" s="4">
        <v>3180.6</v>
      </c>
      <c r="C202" s="4">
        <v>435.44</v>
      </c>
      <c r="D202" s="4">
        <v>1305.2</v>
      </c>
      <c r="E202" s="4">
        <v>5432.4</v>
      </c>
      <c r="F202" s="4">
        <v>4921.1000000000004</v>
      </c>
      <c r="G202" s="4">
        <v>2716.3</v>
      </c>
      <c r="H202" s="4">
        <v>2204.9</v>
      </c>
      <c r="I202" s="4">
        <v>9.4120462410720904</v>
      </c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>
        <v>3.7408000000000001</v>
      </c>
      <c r="Y202" s="4"/>
    </row>
    <row r="203" spans="1:25" x14ac:dyDescent="0.3"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</row>
    <row r="204" spans="1:25" x14ac:dyDescent="0.3"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</row>
    <row r="205" spans="1:25" x14ac:dyDescent="0.3"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</row>
    <row r="206" spans="1:25" x14ac:dyDescent="0.3"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</row>
    <row r="207" spans="1:25" x14ac:dyDescent="0.3"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</row>
    <row r="208" spans="1:25" x14ac:dyDescent="0.3"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</row>
    <row r="209" spans="7:25" x14ac:dyDescent="0.3"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</row>
    <row r="210" spans="7:25" x14ac:dyDescent="0.3"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</row>
    <row r="211" spans="7:25" x14ac:dyDescent="0.3"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</row>
    <row r="212" spans="7:25" x14ac:dyDescent="0.3"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</row>
    <row r="213" spans="7:25" x14ac:dyDescent="0.3"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</row>
    <row r="214" spans="7:25" x14ac:dyDescent="0.3"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</row>
    <row r="215" spans="7:25" x14ac:dyDescent="0.3"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</row>
    <row r="216" spans="7:25" x14ac:dyDescent="0.3"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</row>
    <row r="217" spans="7:25" x14ac:dyDescent="0.3"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</row>
    <row r="218" spans="7:25" x14ac:dyDescent="0.3"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</row>
    <row r="219" spans="7:25" x14ac:dyDescent="0.3"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</row>
    <row r="220" spans="7:25" x14ac:dyDescent="0.3"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</row>
    <row r="221" spans="7:25" x14ac:dyDescent="0.3"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</row>
    <row r="222" spans="7:25" x14ac:dyDescent="0.3"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</row>
    <row r="223" spans="7:25" x14ac:dyDescent="0.3"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</row>
    <row r="224" spans="7:25" x14ac:dyDescent="0.3"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</row>
    <row r="225" spans="7:25" x14ac:dyDescent="0.3"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</row>
    <row r="226" spans="7:25" x14ac:dyDescent="0.3"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</row>
    <row r="227" spans="7:25" x14ac:dyDescent="0.3"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</row>
    <row r="228" spans="7:25" x14ac:dyDescent="0.3"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</row>
    <row r="229" spans="7:25" x14ac:dyDescent="0.3"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</row>
    <row r="230" spans="7:25" x14ac:dyDescent="0.3"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</row>
    <row r="231" spans="7:25" x14ac:dyDescent="0.3"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</row>
    <row r="232" spans="7:25" x14ac:dyDescent="0.3"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</row>
    <row r="233" spans="7:25" x14ac:dyDescent="0.3"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</row>
    <row r="234" spans="7:25" x14ac:dyDescent="0.3"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</row>
    <row r="235" spans="7:25" x14ac:dyDescent="0.3"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</row>
    <row r="236" spans="7:25" x14ac:dyDescent="0.3"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</row>
    <row r="237" spans="7:25" x14ac:dyDescent="0.3"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</row>
    <row r="238" spans="7:25" x14ac:dyDescent="0.3"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E60C5-F42C-4776-B7BD-9889A2D916D6}">
  <sheetPr codeName="Hoja3"/>
  <dimension ref="A1:M47"/>
  <sheetViews>
    <sheetView showGridLines="0" topLeftCell="A16" workbookViewId="0">
      <selection activeCell="A47" sqref="A47"/>
    </sheetView>
  </sheetViews>
  <sheetFormatPr baseColWidth="10" defaultRowHeight="14.4" x14ac:dyDescent="0.3"/>
  <cols>
    <col min="1" max="1" width="16.109375" style="3" customWidth="1"/>
    <col min="2" max="6" width="20.33203125" style="4" customWidth="1"/>
    <col min="7" max="8" width="20.33203125" style="2" customWidth="1"/>
    <col min="9" max="81" width="20.33203125" customWidth="1"/>
  </cols>
  <sheetData>
    <row r="1" spans="1:13" x14ac:dyDescent="0.3">
      <c r="A1"/>
    </row>
    <row r="6" spans="1:13" x14ac:dyDescent="0.3">
      <c r="A6"/>
      <c r="B6" s="6" t="s">
        <v>96</v>
      </c>
      <c r="C6" s="6" t="s">
        <v>98</v>
      </c>
      <c r="D6" s="6" t="s">
        <v>100</v>
      </c>
      <c r="E6" s="6" t="s">
        <v>102</v>
      </c>
      <c r="F6" s="6" t="s">
        <v>104</v>
      </c>
      <c r="G6" s="2" t="s">
        <v>106</v>
      </c>
      <c r="H6" s="2" t="s">
        <v>108</v>
      </c>
      <c r="I6" t="s">
        <v>110</v>
      </c>
      <c r="J6" t="s">
        <v>112</v>
      </c>
      <c r="K6" t="s">
        <v>114</v>
      </c>
      <c r="L6" t="s">
        <v>116</v>
      </c>
      <c r="M6" t="s">
        <v>117</v>
      </c>
    </row>
    <row r="7" spans="1:13" s="1" customFormat="1" ht="57.6" x14ac:dyDescent="0.3">
      <c r="A7" s="5" t="s">
        <v>81</v>
      </c>
      <c r="B7" s="7" t="s">
        <v>97</v>
      </c>
      <c r="C7" s="7" t="s">
        <v>99</v>
      </c>
      <c r="D7" s="7" t="s">
        <v>101</v>
      </c>
      <c r="E7" s="7" t="s">
        <v>103</v>
      </c>
      <c r="F7" s="7" t="s">
        <v>105</v>
      </c>
      <c r="G7" s="7" t="s">
        <v>107</v>
      </c>
      <c r="H7" s="7" t="s">
        <v>109</v>
      </c>
      <c r="I7" s="7" t="s">
        <v>111</v>
      </c>
      <c r="J7" s="7" t="s">
        <v>113</v>
      </c>
      <c r="K7" s="7" t="s">
        <v>115</v>
      </c>
      <c r="L7" s="7" t="s">
        <v>93</v>
      </c>
      <c r="M7" s="7" t="s">
        <v>146</v>
      </c>
    </row>
    <row r="8" spans="1:13" x14ac:dyDescent="0.3">
      <c r="A8" s="3" t="s">
        <v>584</v>
      </c>
      <c r="B8" s="4">
        <v>98754.627644847205</v>
      </c>
      <c r="C8" s="4">
        <v>65354.602406821701</v>
      </c>
      <c r="D8" s="4">
        <v>10716</v>
      </c>
      <c r="E8" s="4">
        <v>22684.025238025501</v>
      </c>
      <c r="F8" s="4">
        <v>25845.287176096801</v>
      </c>
      <c r="G8" s="4">
        <v>22569.866499831402</v>
      </c>
      <c r="H8" s="4">
        <v>3275.4206762653898</v>
      </c>
      <c r="I8" s="4">
        <v>-3161.2619380712999</v>
      </c>
      <c r="J8" s="4">
        <v>29589.848034659299</v>
      </c>
      <c r="K8" s="4">
        <v>27758.470679506499</v>
      </c>
      <c r="L8" s="4">
        <v>100586.005</v>
      </c>
      <c r="M8" s="4">
        <v>101915.889582919</v>
      </c>
    </row>
    <row r="9" spans="1:13" x14ac:dyDescent="0.3">
      <c r="A9" s="3" t="s">
        <v>585</v>
      </c>
      <c r="B9" s="4">
        <v>109393.754352794</v>
      </c>
      <c r="C9" s="4">
        <v>69051.290863616494</v>
      </c>
      <c r="D9" s="4">
        <v>11276</v>
      </c>
      <c r="E9" s="4">
        <v>29066.4634891774</v>
      </c>
      <c r="F9" s="4">
        <v>28166.774322447302</v>
      </c>
      <c r="G9" s="4">
        <v>23740.014428615399</v>
      </c>
      <c r="H9" s="4">
        <v>4426.7598938318797</v>
      </c>
      <c r="I9" s="4">
        <v>899.68916673010199</v>
      </c>
      <c r="J9" s="4">
        <v>27820.446638730999</v>
      </c>
      <c r="K9" s="4">
        <v>29299.182991524802</v>
      </c>
      <c r="L9" s="4">
        <v>107915.018</v>
      </c>
      <c r="M9" s="4">
        <v>108494.06518606401</v>
      </c>
    </row>
    <row r="10" spans="1:13" x14ac:dyDescent="0.3">
      <c r="A10" s="3" t="s">
        <v>586</v>
      </c>
      <c r="B10" s="4">
        <v>110454.57056546</v>
      </c>
      <c r="C10" s="4">
        <v>69014.9579656641</v>
      </c>
      <c r="D10" s="4">
        <v>11997</v>
      </c>
      <c r="E10" s="4">
        <v>29442.612599796201</v>
      </c>
      <c r="F10" s="4">
        <v>30746.198048509199</v>
      </c>
      <c r="G10" s="4">
        <v>25223.842661102099</v>
      </c>
      <c r="H10" s="4">
        <v>5522.3553874070903</v>
      </c>
      <c r="I10" s="4">
        <v>-1303.58544871298</v>
      </c>
      <c r="J10" s="4">
        <v>31625.457273848799</v>
      </c>
      <c r="K10" s="4">
        <v>32469.3408393092</v>
      </c>
      <c r="L10" s="4">
        <v>109610.68700000001</v>
      </c>
      <c r="M10" s="4">
        <v>111758.156014173</v>
      </c>
    </row>
    <row r="11" spans="1:13" x14ac:dyDescent="0.3">
      <c r="A11" s="3" t="s">
        <v>587</v>
      </c>
      <c r="B11" s="4">
        <v>113327.81251764399</v>
      </c>
      <c r="C11" s="4">
        <v>67883.808684417396</v>
      </c>
      <c r="D11" s="4">
        <v>13645</v>
      </c>
      <c r="E11" s="4">
        <v>31799.003833226801</v>
      </c>
      <c r="F11" s="4">
        <v>36269.867532320102</v>
      </c>
      <c r="G11" s="4">
        <v>26187.801951487399</v>
      </c>
      <c r="H11" s="4">
        <v>10082.065580832699</v>
      </c>
      <c r="I11" s="4">
        <v>-4470.8636990933301</v>
      </c>
      <c r="J11" s="4">
        <v>30912.1675117431</v>
      </c>
      <c r="K11" s="4">
        <v>31152.690029387199</v>
      </c>
      <c r="L11" s="4">
        <v>113087.29</v>
      </c>
      <c r="M11" s="4">
        <v>117798.676216737</v>
      </c>
    </row>
    <row r="12" spans="1:13" x14ac:dyDescent="0.3">
      <c r="A12" s="3" t="s">
        <v>118</v>
      </c>
      <c r="B12" s="4">
        <v>109080.91346184</v>
      </c>
      <c r="C12" s="4">
        <v>69022.860733190799</v>
      </c>
      <c r="D12" s="4">
        <v>10145.081800674299</v>
      </c>
      <c r="E12" s="4">
        <v>29912.970927975399</v>
      </c>
      <c r="F12" s="4">
        <v>29064.543722360901</v>
      </c>
      <c r="G12" s="4">
        <v>25327.337816171599</v>
      </c>
      <c r="H12" s="4">
        <v>3737.2059061893201</v>
      </c>
      <c r="I12" s="4">
        <v>848.42720561446004</v>
      </c>
      <c r="J12" s="4">
        <v>26995.9878994912</v>
      </c>
      <c r="K12" s="4">
        <v>30483.605361331702</v>
      </c>
      <c r="L12" s="4">
        <v>105593.296</v>
      </c>
      <c r="M12" s="4">
        <v>108232.486256226</v>
      </c>
    </row>
    <row r="13" spans="1:13" x14ac:dyDescent="0.3">
      <c r="A13" s="3" t="s">
        <v>119</v>
      </c>
      <c r="B13" s="4">
        <v>117436.36286712</v>
      </c>
      <c r="C13" s="4">
        <v>73017.135268938393</v>
      </c>
      <c r="D13" s="4">
        <v>11487.752141422799</v>
      </c>
      <c r="E13" s="4">
        <v>32931.475456758802</v>
      </c>
      <c r="F13" s="4">
        <v>31899.911118054599</v>
      </c>
      <c r="G13" s="4">
        <v>26260.8351816416</v>
      </c>
      <c r="H13" s="4">
        <v>5639.0759364130499</v>
      </c>
      <c r="I13" s="4">
        <v>1031.56433870415</v>
      </c>
      <c r="J13" s="4">
        <v>28367.5600542016</v>
      </c>
      <c r="K13" s="4">
        <v>31129.1989213216</v>
      </c>
      <c r="L13" s="4">
        <v>114674.724</v>
      </c>
      <c r="M13" s="4">
        <v>116404.79852841599</v>
      </c>
    </row>
    <row r="14" spans="1:13" x14ac:dyDescent="0.3">
      <c r="A14" s="3" t="s">
        <v>120</v>
      </c>
      <c r="B14" s="4">
        <v>116240.58654196501</v>
      </c>
      <c r="C14" s="4">
        <v>72824.095114769894</v>
      </c>
      <c r="D14" s="4">
        <v>11975.4335957332</v>
      </c>
      <c r="E14" s="4">
        <v>31441.0578314622</v>
      </c>
      <c r="F14" s="4">
        <v>32914.62524655</v>
      </c>
      <c r="G14" s="4">
        <v>26471.700182381799</v>
      </c>
      <c r="H14" s="4">
        <v>6442.9250641682102</v>
      </c>
      <c r="I14" s="4">
        <v>-1473.5674150877901</v>
      </c>
      <c r="J14" s="4">
        <v>32179.081871520601</v>
      </c>
      <c r="K14" s="4">
        <v>33080.019413485898</v>
      </c>
      <c r="L14" s="4">
        <v>115339.649</v>
      </c>
      <c r="M14" s="4">
        <v>117714.153957053</v>
      </c>
    </row>
    <row r="15" spans="1:13" x14ac:dyDescent="0.3">
      <c r="A15" s="3" t="s">
        <v>121</v>
      </c>
      <c r="B15" s="4">
        <v>120227.436545704</v>
      </c>
      <c r="C15" s="4">
        <v>71993.070698276206</v>
      </c>
      <c r="D15" s="4">
        <v>17193.732462169799</v>
      </c>
      <c r="E15" s="4">
        <v>31040.633385257901</v>
      </c>
      <c r="F15" s="4">
        <v>36668.729781134898</v>
      </c>
      <c r="G15" s="4">
        <v>26600.459440690101</v>
      </c>
      <c r="H15" s="4">
        <v>10068.2703404448</v>
      </c>
      <c r="I15" s="4">
        <v>-5628.0963958769498</v>
      </c>
      <c r="J15" s="4">
        <v>31624.596389953898</v>
      </c>
      <c r="K15" s="4">
        <v>31024.701935657798</v>
      </c>
      <c r="L15" s="4">
        <v>120827.33100000001</v>
      </c>
      <c r="M15" s="4">
        <v>125855.532941581</v>
      </c>
    </row>
    <row r="16" spans="1:13" x14ac:dyDescent="0.3">
      <c r="A16" s="3" t="s">
        <v>122</v>
      </c>
      <c r="B16" s="4">
        <v>112692.642354219</v>
      </c>
      <c r="C16" s="4">
        <v>72455.1024387793</v>
      </c>
      <c r="D16" s="4">
        <v>11141.8422770504</v>
      </c>
      <c r="E16" s="4">
        <v>29095.6976383894</v>
      </c>
      <c r="F16" s="4">
        <v>29133.860339122999</v>
      </c>
      <c r="G16" s="4">
        <v>25082.5364252205</v>
      </c>
      <c r="H16" s="4">
        <v>4051.3239139025</v>
      </c>
      <c r="I16" s="4">
        <v>-38.162700733557401</v>
      </c>
      <c r="J16" s="4">
        <v>28553.313082388198</v>
      </c>
      <c r="K16" s="4">
        <v>30419.690436607299</v>
      </c>
      <c r="L16" s="4">
        <v>110826.265</v>
      </c>
      <c r="M16" s="4">
        <v>112730.805054953</v>
      </c>
    </row>
    <row r="17" spans="1:13" x14ac:dyDescent="0.3">
      <c r="A17" s="3" t="s">
        <v>123</v>
      </c>
      <c r="B17" s="4">
        <v>118963.66252951699</v>
      </c>
      <c r="C17" s="4">
        <v>76111.013884688902</v>
      </c>
      <c r="D17" s="4">
        <v>12055.3122526119</v>
      </c>
      <c r="E17" s="4">
        <v>30797.336392216199</v>
      </c>
      <c r="F17" s="4">
        <v>31074.367376443999</v>
      </c>
      <c r="G17" s="4">
        <v>25707.232064761902</v>
      </c>
      <c r="H17" s="4">
        <v>5367.1353116820901</v>
      </c>
      <c r="I17" s="4">
        <v>-277.03098422781801</v>
      </c>
      <c r="J17" s="4">
        <v>28496.555518179201</v>
      </c>
      <c r="K17" s="4">
        <v>30538.621047696201</v>
      </c>
      <c r="L17" s="4">
        <v>116921.59699999999</v>
      </c>
      <c r="M17" s="4">
        <v>119240.69351374501</v>
      </c>
    </row>
    <row r="18" spans="1:13" x14ac:dyDescent="0.3">
      <c r="A18" s="3" t="s">
        <v>124</v>
      </c>
      <c r="B18" s="4">
        <v>118722.96267632701</v>
      </c>
      <c r="C18" s="4">
        <v>75378.869885996697</v>
      </c>
      <c r="D18" s="4">
        <v>12776.186830168701</v>
      </c>
      <c r="E18" s="4">
        <v>30567.905960161901</v>
      </c>
      <c r="F18" s="4">
        <v>31577.484369014601</v>
      </c>
      <c r="G18" s="4">
        <v>25301.002258873799</v>
      </c>
      <c r="H18" s="4">
        <v>6276.4821101407997</v>
      </c>
      <c r="I18" s="4">
        <v>-1009.5784088527</v>
      </c>
      <c r="J18" s="4">
        <v>30411.800315676101</v>
      </c>
      <c r="K18" s="4">
        <v>31692.233992003399</v>
      </c>
      <c r="L18" s="4">
        <v>117442.52899999999</v>
      </c>
      <c r="M18" s="4">
        <v>119732.54108518</v>
      </c>
    </row>
    <row r="19" spans="1:13" x14ac:dyDescent="0.3">
      <c r="A19" s="3" t="s">
        <v>125</v>
      </c>
      <c r="B19" s="4">
        <v>122895.080623056</v>
      </c>
      <c r="C19" s="4">
        <v>74099.692368154603</v>
      </c>
      <c r="D19" s="4">
        <v>17871.759695450699</v>
      </c>
      <c r="E19" s="4">
        <v>30923.628559450699</v>
      </c>
      <c r="F19" s="4">
        <v>35743.919285775097</v>
      </c>
      <c r="G19" s="4">
        <v>26246.5385515913</v>
      </c>
      <c r="H19" s="4">
        <v>9497.3807341838201</v>
      </c>
      <c r="I19" s="4">
        <v>-4820.2907263243796</v>
      </c>
      <c r="J19" s="4">
        <v>30712.491024979801</v>
      </c>
      <c r="K19" s="4">
        <v>31489.9626480359</v>
      </c>
      <c r="L19" s="4">
        <v>122117.609</v>
      </c>
      <c r="M19" s="4">
        <v>127715.37134938</v>
      </c>
    </row>
    <row r="20" spans="1:13" x14ac:dyDescent="0.3">
      <c r="A20" s="3" t="s">
        <v>126</v>
      </c>
      <c r="B20" s="4">
        <v>115892.27106264701</v>
      </c>
      <c r="C20" s="4">
        <v>75061.962208551195</v>
      </c>
      <c r="D20" s="4">
        <v>11780.510911810001</v>
      </c>
      <c r="E20" s="4">
        <v>29049.797942286001</v>
      </c>
      <c r="F20" s="4">
        <v>27145.952567658202</v>
      </c>
      <c r="G20" s="4">
        <v>24123.625495285502</v>
      </c>
      <c r="H20" s="4">
        <v>3022.3270723727001</v>
      </c>
      <c r="I20" s="4">
        <v>1903.8453746278501</v>
      </c>
      <c r="J20" s="4">
        <v>27941.674611094299</v>
      </c>
      <c r="K20" s="4">
        <v>30869.682673741499</v>
      </c>
      <c r="L20" s="4">
        <v>112964.26300000001</v>
      </c>
      <c r="M20" s="4">
        <v>113988.42568801899</v>
      </c>
    </row>
    <row r="21" spans="1:13" x14ac:dyDescent="0.3">
      <c r="A21" s="3" t="s">
        <v>127</v>
      </c>
      <c r="B21" s="4">
        <v>122943.177315222</v>
      </c>
      <c r="C21" s="4">
        <v>79052.6279313876</v>
      </c>
      <c r="D21" s="4">
        <v>13544.790076740799</v>
      </c>
      <c r="E21" s="4">
        <v>30345.759307093202</v>
      </c>
      <c r="F21" s="4">
        <v>28561.442767153701</v>
      </c>
      <c r="G21" s="4">
        <v>23738.572438236599</v>
      </c>
      <c r="H21" s="4">
        <v>4822.8703289171099</v>
      </c>
      <c r="I21" s="4">
        <v>1784.31653993951</v>
      </c>
      <c r="J21" s="4">
        <v>28823.904960051099</v>
      </c>
      <c r="K21" s="4">
        <v>31134.033275272599</v>
      </c>
      <c r="L21" s="4">
        <v>120633.049</v>
      </c>
      <c r="M21" s="4">
        <v>121158.860775282</v>
      </c>
    </row>
    <row r="22" spans="1:13" x14ac:dyDescent="0.3">
      <c r="A22" s="3" t="s">
        <v>128</v>
      </c>
      <c r="B22" s="4">
        <v>121269.201063202</v>
      </c>
      <c r="C22" s="4">
        <v>78593.977979293602</v>
      </c>
      <c r="D22" s="4">
        <v>13618.2262046915</v>
      </c>
      <c r="E22" s="4">
        <v>29056.9968792172</v>
      </c>
      <c r="F22" s="4">
        <v>30260.906300426301</v>
      </c>
      <c r="G22" s="4">
        <v>24401.597147462799</v>
      </c>
      <c r="H22" s="4">
        <v>5859.3091529635003</v>
      </c>
      <c r="I22" s="4">
        <v>-1203.9094212090399</v>
      </c>
      <c r="J22" s="4">
        <v>32040.576971540399</v>
      </c>
      <c r="K22" s="4">
        <v>32161.133034742801</v>
      </c>
      <c r="L22" s="4">
        <v>121148.645</v>
      </c>
      <c r="M22" s="4">
        <v>122473.11048441099</v>
      </c>
    </row>
    <row r="23" spans="1:13" x14ac:dyDescent="0.3">
      <c r="A23" s="3" t="s">
        <v>129</v>
      </c>
      <c r="B23" s="4">
        <v>125510.859068436</v>
      </c>
      <c r="C23" s="4">
        <v>77208.840280525896</v>
      </c>
      <c r="D23" s="4">
        <v>20204.447683139198</v>
      </c>
      <c r="E23" s="4">
        <v>28097.571104770999</v>
      </c>
      <c r="F23" s="4">
        <v>35546.582041803602</v>
      </c>
      <c r="G23" s="4">
        <v>25798.641733068202</v>
      </c>
      <c r="H23" s="4">
        <v>9747.9403087353694</v>
      </c>
      <c r="I23" s="4">
        <v>-7449.0109370325099</v>
      </c>
      <c r="J23" s="4">
        <v>34923.4518523324</v>
      </c>
      <c r="K23" s="4">
        <v>32674.267920768601</v>
      </c>
      <c r="L23" s="4">
        <v>127760.04300000001</v>
      </c>
      <c r="M23" s="4">
        <v>132959.87000546901</v>
      </c>
    </row>
    <row r="24" spans="1:13" x14ac:dyDescent="0.3">
      <c r="A24" s="3" t="s">
        <v>130</v>
      </c>
      <c r="B24" s="4">
        <v>117860.699890947</v>
      </c>
      <c r="C24" s="4">
        <v>77895.809768019302</v>
      </c>
      <c r="D24" s="4">
        <v>13782.704489109399</v>
      </c>
      <c r="E24" s="4">
        <v>26182.185633818601</v>
      </c>
      <c r="F24" s="4">
        <v>27234.4009787867</v>
      </c>
      <c r="G24" s="4">
        <v>23151.341447016901</v>
      </c>
      <c r="H24" s="4">
        <v>4083.0595317697898</v>
      </c>
      <c r="I24" s="4">
        <v>-1052.21534496809</v>
      </c>
      <c r="J24" s="4">
        <v>30418.189352029702</v>
      </c>
      <c r="K24" s="4">
        <v>30254.7642429771</v>
      </c>
      <c r="L24" s="4">
        <v>118024.125</v>
      </c>
      <c r="M24" s="4">
        <v>118912.915235915</v>
      </c>
    </row>
    <row r="25" spans="1:13" x14ac:dyDescent="0.3">
      <c r="A25" s="3" t="s">
        <v>131</v>
      </c>
      <c r="B25" s="4">
        <v>123295.71233082699</v>
      </c>
      <c r="C25" s="4">
        <v>81746.274512559103</v>
      </c>
      <c r="D25" s="4">
        <v>14162.5256144544</v>
      </c>
      <c r="E25" s="4">
        <v>27386.912203813201</v>
      </c>
      <c r="F25" s="4">
        <v>27794.9926973111</v>
      </c>
      <c r="G25" s="4">
        <v>22613.225787031199</v>
      </c>
      <c r="H25" s="4">
        <v>5181.76691027985</v>
      </c>
      <c r="I25" s="4">
        <v>-408.08049349788399</v>
      </c>
      <c r="J25" s="4">
        <v>31434.0103022168</v>
      </c>
      <c r="K25" s="4">
        <v>29580.3386330434</v>
      </c>
      <c r="L25" s="4">
        <v>125149.38400000001</v>
      </c>
      <c r="M25" s="4">
        <v>123703.79282432501</v>
      </c>
    </row>
    <row r="26" spans="1:13" x14ac:dyDescent="0.3">
      <c r="A26" s="3" t="s">
        <v>132</v>
      </c>
      <c r="B26" s="4">
        <v>123093.669311326</v>
      </c>
      <c r="C26" s="4">
        <v>81879.153808123199</v>
      </c>
      <c r="D26" s="4">
        <v>13753.1662764057</v>
      </c>
      <c r="E26" s="4">
        <v>27461.349226797101</v>
      </c>
      <c r="F26" s="4">
        <v>28443.049122239699</v>
      </c>
      <c r="G26" s="4">
        <v>22464.693564509598</v>
      </c>
      <c r="H26" s="4">
        <v>5978.3555577301604</v>
      </c>
      <c r="I26" s="4">
        <v>-981.69989544260204</v>
      </c>
      <c r="J26" s="4">
        <v>35440.042964811502</v>
      </c>
      <c r="K26" s="4">
        <v>31795.637276137499</v>
      </c>
      <c r="L26" s="4">
        <v>126738.075</v>
      </c>
      <c r="M26" s="4">
        <v>124075.369206769</v>
      </c>
    </row>
    <row r="27" spans="1:13" x14ac:dyDescent="0.3">
      <c r="A27" s="3" t="s">
        <v>133</v>
      </c>
      <c r="B27" s="4">
        <v>126306.562042809</v>
      </c>
      <c r="C27" s="4">
        <v>79862.113129218298</v>
      </c>
      <c r="D27" s="4">
        <v>17094.921516266499</v>
      </c>
      <c r="E27" s="4">
        <v>29349.5273973242</v>
      </c>
      <c r="F27" s="4">
        <v>33024.204438666296</v>
      </c>
      <c r="G27" s="4">
        <v>24753.497972940499</v>
      </c>
      <c r="H27" s="4">
        <v>8270.7064657258106</v>
      </c>
      <c r="I27" s="4">
        <v>-3674.67704134216</v>
      </c>
      <c r="J27" s="4">
        <v>37664.8495826949</v>
      </c>
      <c r="K27" s="4">
        <v>32301.9956255039</v>
      </c>
      <c r="L27" s="4">
        <v>131669.416</v>
      </c>
      <c r="M27" s="4">
        <v>129981.23908415101</v>
      </c>
    </row>
    <row r="28" spans="1:13" x14ac:dyDescent="0.3">
      <c r="A28" s="3" t="s">
        <v>134</v>
      </c>
      <c r="B28" s="4">
        <v>117267.67824521801</v>
      </c>
      <c r="C28" s="4">
        <v>79642.715797091601</v>
      </c>
      <c r="D28" s="4">
        <v>12292.9087991592</v>
      </c>
      <c r="E28" s="4">
        <v>25332.053648967401</v>
      </c>
      <c r="F28" s="4">
        <v>25225.119058984699</v>
      </c>
      <c r="G28" s="4">
        <v>21815.257529618899</v>
      </c>
      <c r="H28" s="4">
        <v>3409.86152936587</v>
      </c>
      <c r="I28" s="4">
        <v>106.93458998270999</v>
      </c>
      <c r="J28" s="4">
        <v>33756.748536147898</v>
      </c>
      <c r="K28" s="4">
        <v>30281.207781366102</v>
      </c>
      <c r="L28" s="4">
        <v>120743.219</v>
      </c>
      <c r="M28" s="4">
        <v>117160.743655235</v>
      </c>
    </row>
    <row r="29" spans="1:13" x14ac:dyDescent="0.3">
      <c r="A29" s="3" t="s">
        <v>135</v>
      </c>
      <c r="B29" s="4">
        <v>123952.323562987</v>
      </c>
      <c r="C29" s="4">
        <v>84138.960581134903</v>
      </c>
      <c r="D29" s="4">
        <v>13784.698780746599</v>
      </c>
      <c r="E29" s="4">
        <v>26028.664201104999</v>
      </c>
      <c r="F29" s="4">
        <v>26731.375619835799</v>
      </c>
      <c r="G29" s="4">
        <v>21841.148793160501</v>
      </c>
      <c r="H29" s="4">
        <v>4890.2268266752799</v>
      </c>
      <c r="I29" s="4">
        <v>-702.71141873074896</v>
      </c>
      <c r="J29" s="4">
        <v>35388.575195252102</v>
      </c>
      <c r="K29" s="4">
        <v>30886.160758238701</v>
      </c>
      <c r="L29" s="4">
        <v>128454.738</v>
      </c>
      <c r="M29" s="4">
        <v>124655.034981718</v>
      </c>
    </row>
    <row r="30" spans="1:13" x14ac:dyDescent="0.3">
      <c r="A30" s="3" t="s">
        <v>136</v>
      </c>
      <c r="B30" s="4">
        <v>125493.361661943</v>
      </c>
      <c r="C30" s="4">
        <v>84035.238127227101</v>
      </c>
      <c r="D30" s="4">
        <v>14252.061937041201</v>
      </c>
      <c r="E30" s="4">
        <v>27206.0615976751</v>
      </c>
      <c r="F30" s="4">
        <v>29909.9138712598</v>
      </c>
      <c r="G30" s="4">
        <v>23632.826302671201</v>
      </c>
      <c r="H30" s="4">
        <v>6277.0875685885803</v>
      </c>
      <c r="I30" s="4">
        <v>-2703.85227358468</v>
      </c>
      <c r="J30" s="4">
        <v>37960.512014014901</v>
      </c>
      <c r="K30" s="4">
        <v>33153.998675958203</v>
      </c>
      <c r="L30" s="4">
        <v>130299.875</v>
      </c>
      <c r="M30" s="4">
        <v>128197.21393552799</v>
      </c>
    </row>
    <row r="31" spans="1:13" x14ac:dyDescent="0.3">
      <c r="A31" s="3" t="s">
        <v>137</v>
      </c>
      <c r="B31" s="4">
        <v>131368.42837544801</v>
      </c>
      <c r="C31" s="4">
        <v>82053.512558130897</v>
      </c>
      <c r="D31" s="4">
        <v>18853.7803939392</v>
      </c>
      <c r="E31" s="4">
        <v>30461.135423378299</v>
      </c>
      <c r="F31" s="4">
        <v>34298.479758755799</v>
      </c>
      <c r="G31" s="4">
        <v>25787.318832397399</v>
      </c>
      <c r="H31" s="4">
        <v>8511.1609263583705</v>
      </c>
      <c r="I31" s="4">
        <v>-3837.3443353774301</v>
      </c>
      <c r="J31" s="4">
        <v>37781.182182299002</v>
      </c>
      <c r="K31" s="4">
        <v>34432.442557747403</v>
      </c>
      <c r="L31" s="4">
        <v>134717.16800000001</v>
      </c>
      <c r="M31" s="4">
        <v>135205.772710825</v>
      </c>
    </row>
    <row r="32" spans="1:13" x14ac:dyDescent="0.3">
      <c r="A32" s="3" t="s">
        <v>138</v>
      </c>
      <c r="B32" s="4">
        <v>122266.93974661401</v>
      </c>
      <c r="C32" s="4">
        <v>82307.502187255697</v>
      </c>
      <c r="D32" s="4">
        <v>12973.8501849361</v>
      </c>
      <c r="E32" s="4">
        <v>26985.587374421899</v>
      </c>
      <c r="F32" s="4">
        <v>26655.890015747798</v>
      </c>
      <c r="G32" s="4">
        <v>23072.0831212095</v>
      </c>
      <c r="H32" s="4">
        <v>3583.8068945382702</v>
      </c>
      <c r="I32" s="4">
        <v>329.69735867412101</v>
      </c>
      <c r="J32" s="4">
        <v>34943.747888973703</v>
      </c>
      <c r="K32" s="4">
        <v>32691.7276355873</v>
      </c>
      <c r="L32" s="4">
        <v>124518.96</v>
      </c>
      <c r="M32" s="4">
        <v>121937.24238794</v>
      </c>
    </row>
    <row r="33" spans="1:13" x14ac:dyDescent="0.3">
      <c r="A33" s="3" t="s">
        <v>139</v>
      </c>
      <c r="B33" s="4">
        <v>131716.36525028601</v>
      </c>
      <c r="C33" s="4">
        <v>88463.587180796399</v>
      </c>
      <c r="D33" s="4">
        <v>13869.0524607227</v>
      </c>
      <c r="E33" s="4">
        <v>29383.725608766999</v>
      </c>
      <c r="F33" s="4">
        <v>29027.554141975299</v>
      </c>
      <c r="G33" s="4">
        <v>23758.2129560961</v>
      </c>
      <c r="H33" s="4">
        <v>5269.3411858792397</v>
      </c>
      <c r="I33" s="4">
        <v>356.17146679175301</v>
      </c>
      <c r="J33" s="4">
        <v>36791.625537590699</v>
      </c>
      <c r="K33" s="4">
        <v>32871.760787876898</v>
      </c>
      <c r="L33" s="4">
        <v>135636.23000000001</v>
      </c>
      <c r="M33" s="4">
        <v>131360.193783494</v>
      </c>
    </row>
    <row r="34" spans="1:13" x14ac:dyDescent="0.3">
      <c r="A34" s="3" t="s">
        <v>140</v>
      </c>
      <c r="B34" s="4">
        <v>129470.77840349999</v>
      </c>
      <c r="C34" s="4">
        <v>86436.2191876867</v>
      </c>
      <c r="D34" s="4">
        <v>13789.623232895599</v>
      </c>
      <c r="E34" s="4">
        <v>29244.935982917199</v>
      </c>
      <c r="F34" s="4">
        <v>29873.388981493699</v>
      </c>
      <c r="G34" s="4">
        <v>23998.833490622699</v>
      </c>
      <c r="H34" s="4">
        <v>5874.5554908710201</v>
      </c>
      <c r="I34" s="4">
        <v>-628.45299857646603</v>
      </c>
      <c r="J34" s="4">
        <v>37509.118362015499</v>
      </c>
      <c r="K34" s="4">
        <v>33457.878765515001</v>
      </c>
      <c r="L34" s="4">
        <v>133522.01800000001</v>
      </c>
      <c r="M34" s="4">
        <v>130099.23140207599</v>
      </c>
    </row>
    <row r="35" spans="1:13" x14ac:dyDescent="0.3">
      <c r="A35" s="3" t="s">
        <v>141</v>
      </c>
      <c r="B35" s="4">
        <v>135653.984862424</v>
      </c>
      <c r="C35" s="4">
        <v>85293.805769051396</v>
      </c>
      <c r="D35" s="4">
        <v>18776.3567259786</v>
      </c>
      <c r="E35" s="4">
        <v>31583.822367393499</v>
      </c>
      <c r="F35" s="4">
        <v>35700.667010581703</v>
      </c>
      <c r="G35" s="4">
        <v>26081.799231507499</v>
      </c>
      <c r="H35" s="4">
        <v>9618.8677790742204</v>
      </c>
      <c r="I35" s="4">
        <v>-4116.8446431882403</v>
      </c>
      <c r="J35" s="4">
        <v>39157.414998233602</v>
      </c>
      <c r="K35" s="4">
        <v>33823.607860657103</v>
      </c>
      <c r="L35" s="4">
        <v>140987.79199999999</v>
      </c>
      <c r="M35" s="4">
        <v>139770.829505612</v>
      </c>
    </row>
    <row r="36" spans="1:13" x14ac:dyDescent="0.3">
      <c r="A36" s="3" t="s">
        <v>142</v>
      </c>
      <c r="B36" s="4">
        <v>124343.834368273</v>
      </c>
      <c r="C36" s="4">
        <v>85254.110765559395</v>
      </c>
      <c r="D36" s="4">
        <v>12506.1399582699</v>
      </c>
      <c r="E36" s="4">
        <v>26583.583644443799</v>
      </c>
      <c r="F36" s="4">
        <v>27071.5773914276</v>
      </c>
      <c r="G36" s="4">
        <v>23775.536275943501</v>
      </c>
      <c r="H36" s="4">
        <v>3296.0411154840899</v>
      </c>
      <c r="I36" s="4">
        <v>-487.99374698375902</v>
      </c>
      <c r="J36" s="4">
        <v>35805.2716761634</v>
      </c>
      <c r="K36" s="4">
        <v>32581.174044436601</v>
      </c>
      <c r="L36" s="4">
        <v>127567.932</v>
      </c>
      <c r="M36" s="4">
        <v>124831.828115257</v>
      </c>
    </row>
    <row r="37" spans="1:13" x14ac:dyDescent="0.3">
      <c r="A37" s="3" t="s">
        <v>143</v>
      </c>
      <c r="B37" s="4">
        <v>134084.30844381099</v>
      </c>
      <c r="C37" s="4">
        <v>91038.171497437404</v>
      </c>
      <c r="D37" s="4">
        <v>14094.462033002999</v>
      </c>
      <c r="E37" s="4">
        <v>28951.674913370902</v>
      </c>
      <c r="F37" s="4">
        <v>30923.700318777599</v>
      </c>
      <c r="G37" s="4">
        <v>25132.6802769024</v>
      </c>
      <c r="H37" s="4">
        <v>5791.0200418751401</v>
      </c>
      <c r="I37" s="4">
        <v>-1972.0254054067</v>
      </c>
      <c r="J37" s="4">
        <v>36139.6319138955</v>
      </c>
      <c r="K37" s="4">
        <v>33042.036357706696</v>
      </c>
      <c r="L37" s="4">
        <v>137181.90400000001</v>
      </c>
      <c r="M37" s="4">
        <v>136056.333849218</v>
      </c>
    </row>
    <row r="38" spans="1:13" x14ac:dyDescent="0.3">
      <c r="A38" s="3" t="s">
        <v>144</v>
      </c>
      <c r="B38" s="4">
        <v>134695.66633722</v>
      </c>
      <c r="C38" s="4">
        <v>89401.740712799699</v>
      </c>
      <c r="D38" s="4">
        <v>14760.586041976399</v>
      </c>
      <c r="E38" s="4">
        <v>30533.3395824441</v>
      </c>
      <c r="F38" s="4">
        <v>32056.111322393099</v>
      </c>
      <c r="G38" s="4">
        <v>26200.848876428001</v>
      </c>
      <c r="H38" s="4">
        <v>5855.2624459650997</v>
      </c>
      <c r="I38" s="4">
        <v>-1522.77173994896</v>
      </c>
      <c r="J38" s="4">
        <v>37595.970942229098</v>
      </c>
      <c r="K38" s="4">
        <v>34412.607279449301</v>
      </c>
      <c r="L38" s="4">
        <v>137879.03</v>
      </c>
      <c r="M38" s="4">
        <v>136218.438077169</v>
      </c>
    </row>
    <row r="39" spans="1:13" x14ac:dyDescent="0.3">
      <c r="A39" s="3" t="s">
        <v>145</v>
      </c>
      <c r="B39" s="4">
        <v>137365.648054991</v>
      </c>
      <c r="C39" s="4">
        <v>87920.854986738195</v>
      </c>
      <c r="D39" s="4">
        <v>19333.712181181701</v>
      </c>
      <c r="E39" s="4">
        <v>30111.080887070999</v>
      </c>
      <c r="F39" s="4">
        <v>35241.388246375398</v>
      </c>
      <c r="G39" s="4">
        <v>26206.011157748399</v>
      </c>
      <c r="H39" s="4">
        <v>9035.3770886269504</v>
      </c>
      <c r="I39" s="4">
        <v>-5130.30735930434</v>
      </c>
      <c r="J39" s="4">
        <v>40551.202416703403</v>
      </c>
      <c r="K39" s="4">
        <v>34384.716471694403</v>
      </c>
      <c r="L39" s="4">
        <v>143532.13399999999</v>
      </c>
      <c r="M39" s="4">
        <v>142495.95541429499</v>
      </c>
    </row>
    <row r="40" spans="1:13" x14ac:dyDescent="0.3">
      <c r="A40" s="3" t="s">
        <v>724</v>
      </c>
      <c r="B40" s="4">
        <v>121291.125830132</v>
      </c>
      <c r="C40" s="4">
        <v>82863.726626383097</v>
      </c>
      <c r="D40" s="4">
        <v>13359.3553020484</v>
      </c>
      <c r="E40" s="4">
        <v>25068.043901700999</v>
      </c>
      <c r="F40" s="4">
        <v>24156.373057104902</v>
      </c>
      <c r="G40" s="4">
        <v>20361.811003876701</v>
      </c>
      <c r="H40" s="4">
        <v>3794.56205322818</v>
      </c>
      <c r="I40" s="4">
        <v>911.67084459608498</v>
      </c>
      <c r="J40" s="4">
        <v>31942.6453818849</v>
      </c>
      <c r="K40" s="4">
        <v>30671.855983477199</v>
      </c>
      <c r="L40" s="4">
        <v>122561.91522854001</v>
      </c>
      <c r="M40" s="4">
        <v>120379.45498553599</v>
      </c>
    </row>
    <row r="41" spans="1:13" x14ac:dyDescent="0.3">
      <c r="A41" s="3" t="s">
        <v>725</v>
      </c>
      <c r="B41" s="4">
        <v>98364.569186852605</v>
      </c>
      <c r="C41" s="4">
        <v>70097.329875359093</v>
      </c>
      <c r="D41" s="4">
        <v>12892.3864042762</v>
      </c>
      <c r="E41" s="4">
        <v>15374.852907217301</v>
      </c>
      <c r="F41" s="4">
        <v>12501.6498278621</v>
      </c>
      <c r="G41" s="4">
        <v>10807.0517124834</v>
      </c>
      <c r="H41" s="4">
        <v>1694.5981153786699</v>
      </c>
      <c r="I41" s="4">
        <v>2873.2030793552299</v>
      </c>
      <c r="J41" s="4">
        <v>20774.678723418601</v>
      </c>
      <c r="K41" s="4">
        <v>23028.939026561999</v>
      </c>
      <c r="L41" s="4">
        <v>96110.308883709193</v>
      </c>
      <c r="M41" s="4">
        <v>95491.366107497393</v>
      </c>
    </row>
    <row r="42" spans="1:13" x14ac:dyDescent="0.3">
      <c r="A42" s="3" t="s">
        <v>726</v>
      </c>
      <c r="B42" s="4">
        <v>121705.299451035</v>
      </c>
      <c r="C42" s="4">
        <v>80330.544133949705</v>
      </c>
      <c r="D42" s="4">
        <v>15552.239312399999</v>
      </c>
      <c r="E42" s="4">
        <v>25822.5160046852</v>
      </c>
      <c r="F42" s="4">
        <v>28641.058902609198</v>
      </c>
      <c r="G42" s="4">
        <v>24243.060689124501</v>
      </c>
      <c r="H42" s="4">
        <v>4397.9982134846996</v>
      </c>
      <c r="I42" s="4">
        <v>-2818.5428979240201</v>
      </c>
      <c r="J42" s="4">
        <v>31264.370862989599</v>
      </c>
      <c r="K42" s="4">
        <v>27253.145166624501</v>
      </c>
      <c r="L42" s="4">
        <v>125716.5251474</v>
      </c>
      <c r="M42" s="4">
        <v>124523.84234895901</v>
      </c>
    </row>
    <row r="43" spans="1:13" x14ac:dyDescent="0.3">
      <c r="A43" s="3" t="s">
        <v>727</v>
      </c>
      <c r="B43" s="4">
        <v>138686.80588504401</v>
      </c>
      <c r="C43" s="4">
        <v>85617.604595307304</v>
      </c>
      <c r="D43" s="4">
        <v>23534.060658507799</v>
      </c>
      <c r="E43" s="4">
        <v>29535.140631228602</v>
      </c>
      <c r="F43" s="4">
        <v>39541.909164931603</v>
      </c>
      <c r="G43" s="4">
        <v>29161.550947485201</v>
      </c>
      <c r="H43" s="4">
        <v>10380.358217446499</v>
      </c>
      <c r="I43" s="4">
        <v>-10006.768533703</v>
      </c>
      <c r="J43" s="4">
        <v>35375.617566446497</v>
      </c>
      <c r="K43" s="4">
        <v>32464.362030890199</v>
      </c>
      <c r="L43" s="4">
        <v>141598.06142059999</v>
      </c>
      <c r="M43" s="4">
        <v>148693.57441874701</v>
      </c>
    </row>
    <row r="44" spans="1:13" x14ac:dyDescent="0.3">
      <c r="A44" s="3" t="s">
        <v>728</v>
      </c>
      <c r="B44" s="4">
        <v>128618.643733847</v>
      </c>
      <c r="C44" s="4">
        <v>84617.626443791101</v>
      </c>
      <c r="D44" s="4">
        <v>14626.639757013099</v>
      </c>
      <c r="E44" s="4">
        <v>29374.3775330432</v>
      </c>
      <c r="F44" s="4">
        <v>32893.448852574104</v>
      </c>
      <c r="G44" s="4">
        <v>28223.8712710896</v>
      </c>
      <c r="H44" s="4">
        <v>4669.5775814845301</v>
      </c>
      <c r="I44" s="4">
        <v>-3519.0713195309099</v>
      </c>
      <c r="J44" s="4">
        <v>31565.684715985499</v>
      </c>
      <c r="K44" s="4">
        <v>32168.851131768301</v>
      </c>
      <c r="L44" s="4">
        <v>128015.47731806499</v>
      </c>
      <c r="M44" s="4">
        <v>132137.71505337799</v>
      </c>
    </row>
    <row r="45" spans="1:13" x14ac:dyDescent="0.3">
      <c r="A45" s="3" t="s">
        <v>729</v>
      </c>
      <c r="B45" s="4">
        <v>138313.115770737</v>
      </c>
      <c r="C45" s="4">
        <v>91649.644648788904</v>
      </c>
      <c r="D45" s="4">
        <v>16817.3766920907</v>
      </c>
      <c r="E45" s="4">
        <v>29846.094429856799</v>
      </c>
      <c r="F45" s="4">
        <v>34330.886884306303</v>
      </c>
      <c r="G45" s="4">
        <v>28442.785045666202</v>
      </c>
      <c r="H45" s="4">
        <v>5888.1018386400601</v>
      </c>
      <c r="I45" s="4">
        <v>-4484.7924544494699</v>
      </c>
      <c r="J45" s="4">
        <v>31547.186645834801</v>
      </c>
      <c r="K45" s="4">
        <v>33499.541178401101</v>
      </c>
      <c r="L45" s="4">
        <v>136360.76123817</v>
      </c>
      <c r="M45" s="4">
        <v>142797.90822518599</v>
      </c>
    </row>
    <row r="46" spans="1:13" x14ac:dyDescent="0.3">
      <c r="A46" s="3" t="s">
        <v>730</v>
      </c>
      <c r="B46" s="4">
        <v>138802.85302459501</v>
      </c>
      <c r="C46" s="4">
        <v>89800.887069902194</v>
      </c>
      <c r="D46" s="4">
        <v>17888.882607119798</v>
      </c>
      <c r="E46" s="4">
        <v>31113.083347572599</v>
      </c>
      <c r="F46" s="4">
        <v>35963.022521781699</v>
      </c>
      <c r="G46" s="4">
        <v>29705.818100709199</v>
      </c>
      <c r="H46" s="4">
        <v>6257.2044210724598</v>
      </c>
      <c r="I46" s="4">
        <v>-4849.9391742090802</v>
      </c>
      <c r="J46" s="4">
        <v>35225.751732112498</v>
      </c>
      <c r="K46" s="4">
        <v>33924.853015457098</v>
      </c>
      <c r="L46" s="4">
        <v>140103.75174124999</v>
      </c>
      <c r="M46" s="4">
        <v>143652.792198804</v>
      </c>
    </row>
    <row r="47" spans="1:13" x14ac:dyDescent="0.3">
      <c r="A47" s="3" t="s">
        <v>731</v>
      </c>
      <c r="B47" s="4">
        <v>143580.039129168</v>
      </c>
      <c r="C47" s="4">
        <v>90295.413749718893</v>
      </c>
      <c r="D47" s="4">
        <v>22974.8583837925</v>
      </c>
      <c r="E47" s="4">
        <v>30309.766995656501</v>
      </c>
      <c r="F47" s="4">
        <v>38252.309063549998</v>
      </c>
      <c r="G47" s="4">
        <v>29991.517594463301</v>
      </c>
      <c r="H47" s="4">
        <v>8260.7914690867292</v>
      </c>
      <c r="I47" s="4">
        <v>-7942.5420678934597</v>
      </c>
      <c r="J47" s="4">
        <v>37669.723255769299</v>
      </c>
      <c r="K47" s="4">
        <v>35118.799633773699</v>
      </c>
      <c r="L47" s="4">
        <v>146130.96275116401</v>
      </c>
      <c r="M47" s="4">
        <v>151522.58119706099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3D852-1EB7-40CB-BB38-BA2211D2B669}">
  <sheetPr codeName="Hoja4"/>
  <dimension ref="A1:E422"/>
  <sheetViews>
    <sheetView showGridLines="0" workbookViewId="0"/>
  </sheetViews>
  <sheetFormatPr baseColWidth="10" defaultRowHeight="14.4" x14ac:dyDescent="0.3"/>
  <cols>
    <col min="1" max="1" width="16.109375" style="3" customWidth="1"/>
    <col min="2" max="5" width="20.33203125" style="4" customWidth="1"/>
  </cols>
  <sheetData>
    <row r="1" spans="1:5" x14ac:dyDescent="0.3">
      <c r="A1"/>
    </row>
    <row r="6" spans="1:5" x14ac:dyDescent="0.3">
      <c r="A6"/>
      <c r="B6" s="6" t="s">
        <v>147</v>
      </c>
      <c r="C6" s="6" t="s">
        <v>149</v>
      </c>
      <c r="D6" s="6" t="s">
        <v>151</v>
      </c>
      <c r="E6" s="6" t="s">
        <v>153</v>
      </c>
    </row>
    <row r="7" spans="1:5" s="1" customFormat="1" ht="43.2" x14ac:dyDescent="0.3">
      <c r="A7" s="5" t="s">
        <v>81</v>
      </c>
      <c r="B7" s="7" t="s">
        <v>148</v>
      </c>
      <c r="C7" s="7" t="s">
        <v>150</v>
      </c>
      <c r="D7" s="7" t="s">
        <v>152</v>
      </c>
      <c r="E7" s="7" t="s">
        <v>154</v>
      </c>
    </row>
    <row r="8" spans="1:5" x14ac:dyDescent="0.3">
      <c r="A8" s="3" t="s">
        <v>155</v>
      </c>
      <c r="B8" s="4">
        <v>3.37</v>
      </c>
      <c r="C8" s="4">
        <v>3.3715714285714302</v>
      </c>
      <c r="D8" s="4">
        <v>3.3690000000000002</v>
      </c>
      <c r="E8" s="4">
        <v>3.3730000000000002</v>
      </c>
    </row>
    <row r="9" spans="1:5" x14ac:dyDescent="0.3">
      <c r="A9" s="3" t="s">
        <v>156</v>
      </c>
      <c r="B9" s="4">
        <v>3.3688571428571401</v>
      </c>
      <c r="C9" s="4">
        <v>3.3701428571428602</v>
      </c>
      <c r="D9" s="4">
        <v>3.3679999999999999</v>
      </c>
      <c r="E9" s="4">
        <v>3.371</v>
      </c>
    </row>
    <row r="10" spans="1:5" x14ac:dyDescent="0.3">
      <c r="A10" s="3" t="s">
        <v>157</v>
      </c>
      <c r="B10" s="4">
        <v>3.3537142857142901</v>
      </c>
      <c r="C10" s="4">
        <v>3.35528571428571</v>
      </c>
      <c r="D10" s="4">
        <v>3.3559999999999999</v>
      </c>
      <c r="E10" s="4">
        <v>3.36</v>
      </c>
    </row>
    <row r="11" spans="1:5" x14ac:dyDescent="0.3">
      <c r="A11" s="3" t="s">
        <v>158</v>
      </c>
      <c r="B11" s="4">
        <v>3.3485714285714301</v>
      </c>
      <c r="C11" s="4">
        <v>3.34985714285714</v>
      </c>
      <c r="D11" s="4">
        <v>3.3490000000000002</v>
      </c>
      <c r="E11" s="4">
        <v>3.3530000000000002</v>
      </c>
    </row>
    <row r="12" spans="1:5" x14ac:dyDescent="0.3">
      <c r="A12" s="3" t="s">
        <v>159</v>
      </c>
      <c r="B12" s="4">
        <v>3.3477142857142899</v>
      </c>
      <c r="C12" s="4">
        <v>3.3491428571428599</v>
      </c>
      <c r="D12" s="4">
        <v>3.347</v>
      </c>
      <c r="E12" s="4">
        <v>3.35</v>
      </c>
    </row>
    <row r="13" spans="1:5" x14ac:dyDescent="0.3">
      <c r="A13" s="3" t="s">
        <v>160</v>
      </c>
      <c r="B13" s="4">
        <v>3.3328571428571401</v>
      </c>
      <c r="C13" s="4">
        <v>3.3342857142857101</v>
      </c>
      <c r="D13" s="4">
        <v>3.3330000000000002</v>
      </c>
      <c r="E13" s="4">
        <v>3.335</v>
      </c>
    </row>
    <row r="14" spans="1:5" x14ac:dyDescent="0.3">
      <c r="A14" s="3" t="s">
        <v>161</v>
      </c>
      <c r="B14" s="4">
        <v>3.3414285714285699</v>
      </c>
      <c r="C14" s="4">
        <v>3.343</v>
      </c>
      <c r="D14" s="4">
        <v>3.3410000000000002</v>
      </c>
      <c r="E14" s="4">
        <v>3.343</v>
      </c>
    </row>
    <row r="15" spans="1:5" x14ac:dyDescent="0.3">
      <c r="A15" s="3" t="s">
        <v>162</v>
      </c>
      <c r="B15" s="4">
        <v>3.3411428571428599</v>
      </c>
      <c r="C15" s="4">
        <v>3.3425714285714299</v>
      </c>
      <c r="D15" s="4">
        <v>3.339</v>
      </c>
      <c r="E15" s="4">
        <v>3.343</v>
      </c>
    </row>
    <row r="16" spans="1:5" x14ac:dyDescent="0.3">
      <c r="A16" s="3" t="s">
        <v>163</v>
      </c>
      <c r="B16" s="4">
        <v>3.3431428571428601</v>
      </c>
      <c r="C16" s="4">
        <v>3.3451428571428599</v>
      </c>
      <c r="D16" s="4">
        <v>3.3410000000000002</v>
      </c>
      <c r="E16" s="4">
        <v>3.3450000000000002</v>
      </c>
    </row>
    <row r="17" spans="1:5" x14ac:dyDescent="0.3">
      <c r="A17" s="3" t="s">
        <v>164</v>
      </c>
      <c r="B17" s="4">
        <v>3.3368571428571401</v>
      </c>
      <c r="C17" s="4">
        <v>3.3384285714285702</v>
      </c>
      <c r="D17" s="4">
        <v>3.3359999999999999</v>
      </c>
      <c r="E17" s="4">
        <v>3.34</v>
      </c>
    </row>
    <row r="18" spans="1:5" x14ac:dyDescent="0.3">
      <c r="A18" s="3" t="s">
        <v>165</v>
      </c>
      <c r="B18" s="4">
        <v>3.3308571428571399</v>
      </c>
      <c r="C18" s="4">
        <v>3.3319999999999999</v>
      </c>
      <c r="D18" s="4">
        <v>3.33</v>
      </c>
      <c r="E18" s="4">
        <v>3.3330000000000002</v>
      </c>
    </row>
    <row r="19" spans="1:5" x14ac:dyDescent="0.3">
      <c r="A19" s="3" t="s">
        <v>166</v>
      </c>
      <c r="B19" s="4">
        <v>3.33071428571429</v>
      </c>
      <c r="C19" s="4">
        <v>3.33214285714286</v>
      </c>
      <c r="D19" s="4">
        <v>3.331</v>
      </c>
      <c r="E19" s="4">
        <v>3.3330000000000002</v>
      </c>
    </row>
    <row r="20" spans="1:5" x14ac:dyDescent="0.3">
      <c r="A20" s="3" t="s">
        <v>167</v>
      </c>
      <c r="B20" s="4">
        <v>3.3171428571428598</v>
      </c>
      <c r="C20" s="4">
        <v>3.3188571428571398</v>
      </c>
      <c r="D20" s="4">
        <v>3.3159999999999998</v>
      </c>
      <c r="E20" s="4">
        <v>3.319</v>
      </c>
    </row>
    <row r="21" spans="1:5" x14ac:dyDescent="0.3">
      <c r="A21" s="3" t="s">
        <v>168</v>
      </c>
      <c r="B21" s="4">
        <v>3.3264285714285702</v>
      </c>
      <c r="C21" s="4">
        <v>3.3282857142857099</v>
      </c>
      <c r="D21" s="4">
        <v>3.3250000000000002</v>
      </c>
      <c r="E21" s="4">
        <v>3.33</v>
      </c>
    </row>
    <row r="22" spans="1:5" x14ac:dyDescent="0.3">
      <c r="A22" s="3" t="s">
        <v>169</v>
      </c>
      <c r="B22" s="4">
        <v>3.3355714285714302</v>
      </c>
      <c r="C22" s="4">
        <v>3.3368571428571401</v>
      </c>
      <c r="D22" s="4">
        <v>3.335</v>
      </c>
      <c r="E22" s="4">
        <v>3.3370000000000002</v>
      </c>
    </row>
    <row r="23" spans="1:5" x14ac:dyDescent="0.3">
      <c r="A23" s="3" t="s">
        <v>170</v>
      </c>
      <c r="B23" s="4">
        <v>3.33642857142857</v>
      </c>
      <c r="C23" s="4">
        <v>3.3380000000000001</v>
      </c>
      <c r="D23" s="4">
        <v>3.3359999999999999</v>
      </c>
      <c r="E23" s="4">
        <v>3.3380000000000001</v>
      </c>
    </row>
    <row r="24" spans="1:5" x14ac:dyDescent="0.3">
      <c r="A24" s="3" t="s">
        <v>171</v>
      </c>
      <c r="B24" s="4">
        <v>3.34671428571429</v>
      </c>
      <c r="C24" s="4">
        <v>3.3478571428571402</v>
      </c>
      <c r="D24" s="4">
        <v>3.3450000000000002</v>
      </c>
      <c r="E24" s="4">
        <v>3.3460000000000001</v>
      </c>
    </row>
    <row r="25" spans="1:5" x14ac:dyDescent="0.3">
      <c r="A25" s="3" t="s">
        <v>172</v>
      </c>
      <c r="B25" s="4">
        <v>3.34157142857143</v>
      </c>
      <c r="C25" s="4">
        <v>3.34271428571429</v>
      </c>
      <c r="D25" s="4">
        <v>3.3420000000000001</v>
      </c>
      <c r="E25" s="4">
        <v>3.3450000000000002</v>
      </c>
    </row>
    <row r="26" spans="1:5" x14ac:dyDescent="0.3">
      <c r="A26" s="3" t="s">
        <v>173</v>
      </c>
      <c r="B26" s="4">
        <v>3.35471428571429</v>
      </c>
      <c r="C26" s="4">
        <v>3.3559999999999999</v>
      </c>
      <c r="D26" s="4">
        <v>3.3519999999999999</v>
      </c>
      <c r="E26" s="4">
        <v>3.3540000000000001</v>
      </c>
    </row>
    <row r="27" spans="1:5" x14ac:dyDescent="0.3">
      <c r="A27" s="3" t="s">
        <v>174</v>
      </c>
      <c r="B27" s="4">
        <v>3.3584285714285702</v>
      </c>
      <c r="C27" s="4">
        <v>3.3594285714285701</v>
      </c>
      <c r="D27" s="4">
        <v>3.3570000000000002</v>
      </c>
      <c r="E27" s="4">
        <v>3.36</v>
      </c>
    </row>
    <row r="28" spans="1:5" x14ac:dyDescent="0.3">
      <c r="A28" s="3" t="s">
        <v>175</v>
      </c>
      <c r="B28" s="4">
        <v>3.3519999999999999</v>
      </c>
      <c r="C28" s="4">
        <v>3.3534285714285699</v>
      </c>
      <c r="D28" s="4">
        <v>3.351</v>
      </c>
      <c r="E28" s="4">
        <v>3.355</v>
      </c>
    </row>
    <row r="29" spans="1:5" x14ac:dyDescent="0.3">
      <c r="A29" s="3" t="s">
        <v>176</v>
      </c>
      <c r="B29" s="4">
        <v>3.3302857142857198</v>
      </c>
      <c r="C29" s="4">
        <v>3.3315714285714302</v>
      </c>
      <c r="D29" s="4">
        <v>3.3330000000000002</v>
      </c>
      <c r="E29" s="4">
        <v>3.335</v>
      </c>
    </row>
    <row r="30" spans="1:5" x14ac:dyDescent="0.3">
      <c r="A30" s="3" t="s">
        <v>177</v>
      </c>
      <c r="B30" s="4">
        <v>3.32671428571429</v>
      </c>
      <c r="C30" s="4">
        <v>3.3290000000000002</v>
      </c>
      <c r="D30" s="4">
        <v>3.3260000000000001</v>
      </c>
      <c r="E30" s="4">
        <v>3.33</v>
      </c>
    </row>
    <row r="31" spans="1:5" x14ac:dyDescent="0.3">
      <c r="A31" s="3" t="s">
        <v>178</v>
      </c>
      <c r="B31" s="4">
        <v>3.3291428571428598</v>
      </c>
      <c r="C31" s="4">
        <v>3.3311428571428601</v>
      </c>
      <c r="D31" s="4">
        <v>3.327</v>
      </c>
      <c r="E31" s="4">
        <v>3.331</v>
      </c>
    </row>
    <row r="32" spans="1:5" x14ac:dyDescent="0.3">
      <c r="A32" s="3" t="s">
        <v>179</v>
      </c>
      <c r="B32" s="4">
        <v>3.3271428571428601</v>
      </c>
      <c r="C32" s="4">
        <v>3.3285714285714301</v>
      </c>
      <c r="D32" s="4">
        <v>3.3279999999999998</v>
      </c>
      <c r="E32" s="4">
        <v>3.331</v>
      </c>
    </row>
    <row r="33" spans="1:5" x14ac:dyDescent="0.3">
      <c r="A33" s="3" t="s">
        <v>180</v>
      </c>
      <c r="B33" s="4">
        <v>3.3254285714285698</v>
      </c>
      <c r="C33" s="4">
        <v>3.3264285714285702</v>
      </c>
      <c r="D33" s="4">
        <v>3.3250000000000002</v>
      </c>
      <c r="E33" s="4">
        <v>3.3279999999999998</v>
      </c>
    </row>
    <row r="34" spans="1:5" x14ac:dyDescent="0.3">
      <c r="A34" s="3" t="s">
        <v>181</v>
      </c>
      <c r="B34" s="4">
        <v>3.3228571428571398</v>
      </c>
      <c r="C34" s="4">
        <v>3.3242857142857098</v>
      </c>
      <c r="D34" s="4">
        <v>3.3210000000000002</v>
      </c>
      <c r="E34" s="4">
        <v>3.3239999999999998</v>
      </c>
    </row>
    <row r="35" spans="1:5" x14ac:dyDescent="0.3">
      <c r="A35" s="3" t="s">
        <v>182</v>
      </c>
      <c r="B35" s="4">
        <v>3.32185714285714</v>
      </c>
      <c r="C35" s="4">
        <v>3.32328571428571</v>
      </c>
      <c r="D35" s="4">
        <v>3.3210000000000002</v>
      </c>
      <c r="E35" s="4">
        <v>3.3239999999999998</v>
      </c>
    </row>
    <row r="36" spans="1:5" x14ac:dyDescent="0.3">
      <c r="A36" s="3" t="s">
        <v>183</v>
      </c>
      <c r="B36" s="4">
        <v>3.3292857142857102</v>
      </c>
      <c r="C36" s="4">
        <v>3.3305714285714298</v>
      </c>
      <c r="D36" s="4">
        <v>3.3279999999999998</v>
      </c>
      <c r="E36" s="4">
        <v>3.331</v>
      </c>
    </row>
    <row r="37" spans="1:5" x14ac:dyDescent="0.3">
      <c r="A37" s="3" t="s">
        <v>184</v>
      </c>
      <c r="B37" s="4">
        <v>3.3302857142857101</v>
      </c>
      <c r="C37" s="4">
        <v>3.33214285714286</v>
      </c>
      <c r="D37" s="4">
        <v>3.331</v>
      </c>
      <c r="E37" s="4">
        <v>3.3330000000000002</v>
      </c>
    </row>
    <row r="38" spans="1:5" x14ac:dyDescent="0.3">
      <c r="A38" s="3" t="s">
        <v>185</v>
      </c>
      <c r="B38" s="4">
        <v>3.3359999999999999</v>
      </c>
      <c r="C38" s="4">
        <v>3.3380000000000001</v>
      </c>
      <c r="D38" s="4">
        <v>3.3359999999999999</v>
      </c>
      <c r="E38" s="4">
        <v>3.3370000000000002</v>
      </c>
    </row>
    <row r="39" spans="1:5" x14ac:dyDescent="0.3">
      <c r="A39" s="3" t="s">
        <v>186</v>
      </c>
      <c r="B39" s="4">
        <v>3.3395714285714302</v>
      </c>
      <c r="C39" s="4">
        <v>3.3407142857142902</v>
      </c>
      <c r="D39" s="4">
        <v>3.339</v>
      </c>
      <c r="E39" s="4">
        <v>3.3410000000000002</v>
      </c>
    </row>
    <row r="40" spans="1:5" x14ac:dyDescent="0.3">
      <c r="A40" s="3" t="s">
        <v>187</v>
      </c>
      <c r="B40" s="4">
        <v>3.3279999999999998</v>
      </c>
      <c r="C40" s="4">
        <v>3.3294285714285698</v>
      </c>
      <c r="D40" s="4">
        <v>3.327</v>
      </c>
      <c r="E40" s="4">
        <v>3.331</v>
      </c>
    </row>
    <row r="41" spans="1:5" x14ac:dyDescent="0.3">
      <c r="A41" s="3" t="s">
        <v>188</v>
      </c>
      <c r="B41" s="4">
        <v>3.3195714285714302</v>
      </c>
      <c r="C41" s="4">
        <v>3.3208571428571401</v>
      </c>
      <c r="D41" s="4">
        <v>3.3180000000000001</v>
      </c>
      <c r="E41" s="4">
        <v>3.3239999999999998</v>
      </c>
    </row>
    <row r="42" spans="1:5" x14ac:dyDescent="0.3">
      <c r="A42" s="3" t="s">
        <v>189</v>
      </c>
      <c r="B42" s="4">
        <v>3.3151428571428601</v>
      </c>
      <c r="C42" s="4">
        <v>3.3165714285714301</v>
      </c>
      <c r="D42" s="4">
        <v>3.3140000000000001</v>
      </c>
      <c r="E42" s="4">
        <v>3.3180000000000001</v>
      </c>
    </row>
    <row r="43" spans="1:5" x14ac:dyDescent="0.3">
      <c r="A43" s="3" t="s">
        <v>190</v>
      </c>
      <c r="B43" s="4">
        <v>3.3175714285714299</v>
      </c>
      <c r="C43" s="4">
        <v>3.3187142857142899</v>
      </c>
      <c r="D43" s="4">
        <v>3.3159999999999998</v>
      </c>
      <c r="E43" s="4">
        <v>3.3180000000000001</v>
      </c>
    </row>
    <row r="44" spans="1:5" x14ac:dyDescent="0.3">
      <c r="A44" s="3" t="s">
        <v>191</v>
      </c>
      <c r="B44" s="4">
        <v>3.3195714285714302</v>
      </c>
      <c r="C44" s="4">
        <v>3.3208571428571401</v>
      </c>
      <c r="D44" s="4">
        <v>3.319</v>
      </c>
      <c r="E44" s="4">
        <v>3.3220000000000001</v>
      </c>
    </row>
    <row r="45" spans="1:5" x14ac:dyDescent="0.3">
      <c r="A45" s="3" t="s">
        <v>192</v>
      </c>
      <c r="B45" s="4">
        <v>3.3062857142857101</v>
      </c>
      <c r="C45" s="4">
        <v>3.3078571428571402</v>
      </c>
      <c r="D45" s="4">
        <v>3.3069999999999999</v>
      </c>
      <c r="E45" s="4">
        <v>3.31</v>
      </c>
    </row>
    <row r="46" spans="1:5" x14ac:dyDescent="0.3">
      <c r="A46" s="3" t="s">
        <v>193</v>
      </c>
      <c r="B46" s="4">
        <v>3.30314285714286</v>
      </c>
      <c r="C46" s="4">
        <v>3.3044285714285699</v>
      </c>
      <c r="D46" s="4">
        <v>3.3029999999999999</v>
      </c>
      <c r="E46" s="4">
        <v>3.306</v>
      </c>
    </row>
    <row r="47" spans="1:5" x14ac:dyDescent="0.3">
      <c r="A47" s="3" t="s">
        <v>194</v>
      </c>
      <c r="B47" s="4">
        <v>3.3081428571428599</v>
      </c>
      <c r="C47" s="4">
        <v>3.3094285714285698</v>
      </c>
      <c r="D47" s="4">
        <v>3.3069999999999999</v>
      </c>
      <c r="E47" s="4">
        <v>3.3119999999999998</v>
      </c>
    </row>
    <row r="48" spans="1:5" x14ac:dyDescent="0.3">
      <c r="A48" s="3" t="s">
        <v>195</v>
      </c>
      <c r="B48" s="4">
        <v>3.30228571428571</v>
      </c>
      <c r="C48" s="4">
        <v>3.3032857142857099</v>
      </c>
      <c r="D48" s="4">
        <v>3.3039999999999998</v>
      </c>
      <c r="E48" s="4">
        <v>3.306</v>
      </c>
    </row>
    <row r="49" spans="1:5" x14ac:dyDescent="0.3">
      <c r="A49" s="3" t="s">
        <v>196</v>
      </c>
      <c r="B49" s="4">
        <v>3.3021428571428602</v>
      </c>
      <c r="C49" s="4">
        <v>3.3032857142857099</v>
      </c>
      <c r="D49" s="4">
        <v>3.3</v>
      </c>
      <c r="E49" s="4">
        <v>3.3050000000000002</v>
      </c>
    </row>
    <row r="50" spans="1:5" x14ac:dyDescent="0.3">
      <c r="A50" s="3" t="s">
        <v>197</v>
      </c>
      <c r="B50" s="4">
        <v>3.3050000000000002</v>
      </c>
      <c r="C50" s="4">
        <v>3.3062857142857101</v>
      </c>
      <c r="D50" s="4">
        <v>3.3029999999999999</v>
      </c>
      <c r="E50" s="4">
        <v>3.3069999999999999</v>
      </c>
    </row>
    <row r="51" spans="1:5" x14ac:dyDescent="0.3">
      <c r="A51" s="3" t="s">
        <v>198</v>
      </c>
      <c r="B51" s="4">
        <v>3.3095714285714299</v>
      </c>
      <c r="C51" s="4">
        <v>3.3111428571428601</v>
      </c>
      <c r="D51" s="4">
        <v>3.3079999999999998</v>
      </c>
      <c r="E51" s="4">
        <v>3.3119999999999998</v>
      </c>
    </row>
    <row r="52" spans="1:5" x14ac:dyDescent="0.3">
      <c r="A52" s="3" t="s">
        <v>199</v>
      </c>
      <c r="B52" s="4">
        <v>3.3102857142857101</v>
      </c>
      <c r="C52" s="4">
        <v>3.3115714285714302</v>
      </c>
      <c r="D52" s="4">
        <v>3.31</v>
      </c>
      <c r="E52" s="4">
        <v>3.3130000000000002</v>
      </c>
    </row>
    <row r="53" spans="1:5" x14ac:dyDescent="0.3">
      <c r="A53" s="3" t="s">
        <v>200</v>
      </c>
      <c r="B53" s="4">
        <v>3.3078571428571402</v>
      </c>
      <c r="C53" s="4">
        <v>3.3091428571428598</v>
      </c>
      <c r="D53" s="4">
        <v>3.3069999999999999</v>
      </c>
      <c r="E53" s="4">
        <v>3.31</v>
      </c>
    </row>
    <row r="54" spans="1:5" x14ac:dyDescent="0.3">
      <c r="A54" s="3" t="s">
        <v>201</v>
      </c>
      <c r="B54" s="4">
        <v>3.3091428571428598</v>
      </c>
      <c r="C54" s="4">
        <v>3.3104285714285702</v>
      </c>
      <c r="D54" s="4">
        <v>3.3079999999999998</v>
      </c>
      <c r="E54" s="4">
        <v>3.3109999999999999</v>
      </c>
    </row>
    <row r="55" spans="1:5" x14ac:dyDescent="0.3">
      <c r="A55" s="3" t="s">
        <v>202</v>
      </c>
      <c r="B55" s="4">
        <v>3.3130000000000002</v>
      </c>
      <c r="C55" s="4">
        <v>3.3141428571428602</v>
      </c>
      <c r="D55" s="4">
        <v>3.3119999999999998</v>
      </c>
      <c r="E55" s="4">
        <v>3.3149999999999999</v>
      </c>
    </row>
    <row r="56" spans="1:5" x14ac:dyDescent="0.3">
      <c r="A56" s="3" t="s">
        <v>203</v>
      </c>
      <c r="B56" s="4">
        <v>3.3077142857142898</v>
      </c>
      <c r="C56" s="4">
        <v>3.3079000000000001</v>
      </c>
      <c r="D56" s="4">
        <v>3.3069999999999999</v>
      </c>
      <c r="E56" s="4">
        <v>3.31</v>
      </c>
    </row>
    <row r="57" spans="1:5" x14ac:dyDescent="0.3">
      <c r="A57" s="3" t="s">
        <v>204</v>
      </c>
      <c r="B57" s="4">
        <v>3.3</v>
      </c>
      <c r="C57" s="4">
        <v>3.3014285714285698</v>
      </c>
      <c r="D57" s="4">
        <v>3.3</v>
      </c>
      <c r="E57" s="4">
        <v>3.3029999999999999</v>
      </c>
    </row>
    <row r="58" spans="1:5" x14ac:dyDescent="0.3">
      <c r="A58" s="3" t="s">
        <v>205</v>
      </c>
      <c r="B58" s="4">
        <v>3.29142857142857</v>
      </c>
      <c r="C58" s="4">
        <v>3.2927142857142901</v>
      </c>
      <c r="D58" s="4">
        <v>3.29</v>
      </c>
      <c r="E58" s="4">
        <v>3.2919999999999998</v>
      </c>
    </row>
    <row r="59" spans="1:5" x14ac:dyDescent="0.3">
      <c r="A59" s="3" t="s">
        <v>206</v>
      </c>
      <c r="B59" s="4">
        <v>3.2958571428571402</v>
      </c>
      <c r="C59" s="4">
        <v>3.2974285714285698</v>
      </c>
      <c r="D59" s="4">
        <v>3.294</v>
      </c>
      <c r="E59" s="4">
        <v>3.2970000000000002</v>
      </c>
    </row>
    <row r="60" spans="1:5" x14ac:dyDescent="0.3">
      <c r="A60" s="3" t="s">
        <v>207</v>
      </c>
      <c r="B60" s="4">
        <v>3.2970000000000002</v>
      </c>
      <c r="C60" s="4">
        <v>3.2981428571428602</v>
      </c>
      <c r="D60" s="4">
        <v>3.2959999999999998</v>
      </c>
      <c r="E60" s="4">
        <v>3.2989999999999999</v>
      </c>
    </row>
    <row r="61" spans="1:5" x14ac:dyDescent="0.3">
      <c r="A61" s="3" t="s">
        <v>208</v>
      </c>
      <c r="B61" s="4">
        <v>3.2984285714285702</v>
      </c>
      <c r="C61" s="4">
        <v>3.2998571428571402</v>
      </c>
      <c r="D61" s="4">
        <v>3.2970000000000002</v>
      </c>
      <c r="E61" s="4">
        <v>3.3010000000000002</v>
      </c>
    </row>
    <row r="62" spans="1:5" x14ac:dyDescent="0.3">
      <c r="A62" s="3" t="s">
        <v>209</v>
      </c>
      <c r="B62" s="4">
        <v>3.3002857142857098</v>
      </c>
      <c r="C62" s="4">
        <v>3.3014285714285698</v>
      </c>
      <c r="D62" s="4">
        <v>3.3</v>
      </c>
      <c r="E62" s="4">
        <v>3.3010000000000002</v>
      </c>
    </row>
    <row r="63" spans="1:5" x14ac:dyDescent="0.3">
      <c r="A63" s="3" t="s">
        <v>210</v>
      </c>
      <c r="B63" s="4">
        <v>3.294</v>
      </c>
      <c r="C63" s="4">
        <v>3.2952857142857099</v>
      </c>
      <c r="D63" s="4">
        <v>3.2909999999999999</v>
      </c>
      <c r="E63" s="4">
        <v>3.294</v>
      </c>
    </row>
    <row r="64" spans="1:5" x14ac:dyDescent="0.3">
      <c r="A64" s="3" t="s">
        <v>211</v>
      </c>
      <c r="B64" s="4">
        <v>3.2918571428571402</v>
      </c>
      <c r="C64" s="4">
        <v>3.2931428571428598</v>
      </c>
      <c r="D64" s="4">
        <v>3.2919999999999998</v>
      </c>
      <c r="E64" s="4">
        <v>3.294</v>
      </c>
    </row>
    <row r="65" spans="1:5" x14ac:dyDescent="0.3">
      <c r="A65" s="3" t="s">
        <v>212</v>
      </c>
      <c r="B65" s="4">
        <v>3.3015714285714299</v>
      </c>
      <c r="C65" s="4">
        <v>3.3029999999999999</v>
      </c>
      <c r="D65" s="4">
        <v>3.3010000000000002</v>
      </c>
      <c r="E65" s="4">
        <v>3.3050000000000002</v>
      </c>
    </row>
    <row r="66" spans="1:5" x14ac:dyDescent="0.3">
      <c r="A66" s="3" t="s">
        <v>213</v>
      </c>
      <c r="B66" s="4">
        <v>3.3025714285714298</v>
      </c>
      <c r="C66" s="4">
        <v>3.3037142857142898</v>
      </c>
      <c r="D66" s="4">
        <v>3.3010000000000002</v>
      </c>
      <c r="E66" s="4">
        <v>3.3039999999999998</v>
      </c>
    </row>
    <row r="67" spans="1:5" x14ac:dyDescent="0.3">
      <c r="A67" s="3" t="s">
        <v>214</v>
      </c>
      <c r="B67" s="4">
        <v>3.3039999999999998</v>
      </c>
      <c r="C67" s="4">
        <v>3.3050000000000002</v>
      </c>
      <c r="D67" s="4">
        <v>3.302</v>
      </c>
      <c r="E67" s="4">
        <v>3.306</v>
      </c>
    </row>
    <row r="68" spans="1:5" x14ac:dyDescent="0.3">
      <c r="A68" s="3" t="s">
        <v>215</v>
      </c>
      <c r="B68" s="4">
        <v>3.3159999999999998</v>
      </c>
      <c r="C68" s="4">
        <v>3.3172857142857102</v>
      </c>
      <c r="D68" s="4">
        <v>3.3149999999999999</v>
      </c>
      <c r="E68" s="4">
        <v>3.3170000000000002</v>
      </c>
    </row>
    <row r="69" spans="1:5" x14ac:dyDescent="0.3">
      <c r="A69" s="3" t="s">
        <v>216</v>
      </c>
      <c r="B69" s="4">
        <v>3.3165714285714301</v>
      </c>
      <c r="C69" s="4">
        <v>3.31785714285714</v>
      </c>
      <c r="D69" s="4">
        <v>3.3159999999999998</v>
      </c>
      <c r="E69" s="4">
        <v>3.319</v>
      </c>
    </row>
    <row r="70" spans="1:5" x14ac:dyDescent="0.3">
      <c r="A70" s="3" t="s">
        <v>217</v>
      </c>
      <c r="B70" s="4">
        <v>3.3188571428571398</v>
      </c>
      <c r="C70" s="4">
        <v>3.32</v>
      </c>
      <c r="D70" s="4">
        <v>3.3159999999999998</v>
      </c>
      <c r="E70" s="4">
        <v>3.3210000000000002</v>
      </c>
    </row>
    <row r="71" spans="1:5" x14ac:dyDescent="0.3">
      <c r="A71" s="3" t="s">
        <v>218</v>
      </c>
      <c r="B71" s="4">
        <v>3.3074285714285701</v>
      </c>
      <c r="C71" s="4">
        <v>3.3088571428571401</v>
      </c>
      <c r="D71" s="4">
        <v>3.306</v>
      </c>
      <c r="E71" s="4">
        <v>3.3119999999999998</v>
      </c>
    </row>
    <row r="72" spans="1:5" x14ac:dyDescent="0.3">
      <c r="A72" s="3" t="s">
        <v>219</v>
      </c>
      <c r="B72" s="4">
        <v>3.3101428571428602</v>
      </c>
      <c r="C72" s="4">
        <v>3.3115714285714302</v>
      </c>
      <c r="D72" s="4">
        <v>3.3090000000000002</v>
      </c>
      <c r="E72" s="4">
        <v>3.3119999999999998</v>
      </c>
    </row>
    <row r="73" spans="1:5" x14ac:dyDescent="0.3">
      <c r="A73" s="3" t="s">
        <v>220</v>
      </c>
      <c r="B73" s="4">
        <v>3.2988571428571398</v>
      </c>
      <c r="C73" s="4">
        <v>3.3001428571428599</v>
      </c>
      <c r="D73" s="4">
        <v>3.298</v>
      </c>
      <c r="E73" s="4">
        <v>3.3</v>
      </c>
    </row>
    <row r="74" spans="1:5" x14ac:dyDescent="0.3">
      <c r="A74" s="3" t="s">
        <v>221</v>
      </c>
      <c r="B74" s="4">
        <v>3.2962857142857098</v>
      </c>
      <c r="C74" s="4">
        <v>3.2975714285714299</v>
      </c>
      <c r="D74" s="4">
        <v>3.2949999999999999</v>
      </c>
      <c r="E74" s="4">
        <v>3.2989999999999999</v>
      </c>
    </row>
    <row r="75" spans="1:5" x14ac:dyDescent="0.3">
      <c r="A75" s="3" t="s">
        <v>222</v>
      </c>
      <c r="B75" s="4">
        <v>3.2961428571428599</v>
      </c>
      <c r="C75" s="4">
        <v>3.2974285714285698</v>
      </c>
      <c r="D75" s="4">
        <v>3.2949999999999999</v>
      </c>
      <c r="E75" s="4">
        <v>3.3</v>
      </c>
    </row>
    <row r="76" spans="1:5" x14ac:dyDescent="0.3">
      <c r="A76" s="3" t="s">
        <v>223</v>
      </c>
      <c r="B76" s="4">
        <v>3.2898571428571399</v>
      </c>
      <c r="C76" s="4">
        <v>3.29114285714286</v>
      </c>
      <c r="D76" s="4">
        <v>3.2890000000000001</v>
      </c>
      <c r="E76" s="4">
        <v>3.2930000000000001</v>
      </c>
    </row>
    <row r="77" spans="1:5" x14ac:dyDescent="0.3">
      <c r="A77" s="3" t="s">
        <v>224</v>
      </c>
      <c r="B77" s="4">
        <v>3.2912857142857099</v>
      </c>
      <c r="C77" s="4">
        <v>3.29285714285714</v>
      </c>
      <c r="D77" s="4">
        <v>3.29</v>
      </c>
      <c r="E77" s="4">
        <v>3.2930000000000001</v>
      </c>
    </row>
    <row r="78" spans="1:5" x14ac:dyDescent="0.3">
      <c r="A78" s="3" t="s">
        <v>225</v>
      </c>
      <c r="B78" s="4">
        <v>3.2938571428571399</v>
      </c>
      <c r="C78" s="4">
        <v>3.29514285714286</v>
      </c>
      <c r="D78" s="4">
        <v>3.2930000000000001</v>
      </c>
      <c r="E78" s="4">
        <v>3.2949999999999999</v>
      </c>
    </row>
    <row r="79" spans="1:5" x14ac:dyDescent="0.3">
      <c r="A79" s="3" t="s">
        <v>226</v>
      </c>
      <c r="B79" s="4">
        <v>3.29771428571429</v>
      </c>
      <c r="C79" s="4">
        <v>3.2992857142857099</v>
      </c>
      <c r="D79" s="4">
        <v>3.2959999999999998</v>
      </c>
      <c r="E79" s="4">
        <v>3.3</v>
      </c>
    </row>
    <row r="80" spans="1:5" x14ac:dyDescent="0.3">
      <c r="A80" s="3" t="s">
        <v>227</v>
      </c>
      <c r="B80" s="4">
        <v>3.2941428571428601</v>
      </c>
      <c r="C80" s="4">
        <v>3.29514285714286</v>
      </c>
      <c r="D80" s="4">
        <v>3.2909999999999999</v>
      </c>
      <c r="E80" s="4">
        <v>3.2959999999999998</v>
      </c>
    </row>
    <row r="81" spans="1:5" x14ac:dyDescent="0.3">
      <c r="A81" s="3" t="s">
        <v>228</v>
      </c>
      <c r="B81" s="4">
        <v>3.2974285714285698</v>
      </c>
      <c r="C81" s="4">
        <v>3.2985714285714298</v>
      </c>
      <c r="D81" s="4">
        <v>3.2949999999999999</v>
      </c>
      <c r="E81" s="4">
        <v>3.2989999999999999</v>
      </c>
    </row>
    <row r="82" spans="1:5" x14ac:dyDescent="0.3">
      <c r="A82" s="3" t="s">
        <v>229</v>
      </c>
      <c r="B82" s="4">
        <v>3.2948571428571398</v>
      </c>
      <c r="C82" s="4">
        <v>3.2958571428571402</v>
      </c>
      <c r="D82" s="4">
        <v>3.294</v>
      </c>
      <c r="E82" s="4">
        <v>3.2970000000000002</v>
      </c>
    </row>
    <row r="83" spans="1:5" x14ac:dyDescent="0.3">
      <c r="A83" s="3" t="s">
        <v>230</v>
      </c>
      <c r="B83" s="4">
        <v>3.29428571428571</v>
      </c>
      <c r="C83" s="4">
        <v>3.2957142857142898</v>
      </c>
      <c r="D83" s="4">
        <v>3.294</v>
      </c>
      <c r="E83" s="4">
        <v>3.2970000000000002</v>
      </c>
    </row>
    <row r="84" spans="1:5" x14ac:dyDescent="0.3">
      <c r="A84" s="3" t="s">
        <v>231</v>
      </c>
      <c r="B84" s="4">
        <v>3.3039999999999998</v>
      </c>
      <c r="C84" s="4">
        <v>3.3051428571428598</v>
      </c>
      <c r="D84" s="4">
        <v>3.302</v>
      </c>
      <c r="E84" s="4">
        <v>3.3039999999999998</v>
      </c>
    </row>
    <row r="85" spans="1:5" x14ac:dyDescent="0.3">
      <c r="A85" s="3" t="s">
        <v>232</v>
      </c>
      <c r="B85" s="4">
        <v>3.3102857142857101</v>
      </c>
      <c r="C85" s="4">
        <v>3.3114285714285701</v>
      </c>
      <c r="D85" s="4">
        <v>3.3079999999999998</v>
      </c>
      <c r="E85" s="4">
        <v>3.3109999999999999</v>
      </c>
    </row>
    <row r="86" spans="1:5" x14ac:dyDescent="0.3">
      <c r="A86" s="3" t="s">
        <v>233</v>
      </c>
      <c r="B86" s="4">
        <v>3.3217142857142901</v>
      </c>
      <c r="C86" s="4">
        <v>3.323</v>
      </c>
      <c r="D86" s="4">
        <v>3.32</v>
      </c>
      <c r="E86" s="4">
        <v>3.3220000000000001</v>
      </c>
    </row>
    <row r="87" spans="1:5" x14ac:dyDescent="0.3">
      <c r="A87" s="3" t="s">
        <v>234</v>
      </c>
      <c r="B87" s="4">
        <v>3.3294285714285698</v>
      </c>
      <c r="C87" s="4">
        <v>3.3317142857142898</v>
      </c>
      <c r="D87" s="4">
        <v>3.3290000000000002</v>
      </c>
      <c r="E87" s="4">
        <v>3.3319999999999999</v>
      </c>
    </row>
    <row r="88" spans="1:5" x14ac:dyDescent="0.3">
      <c r="A88" s="3" t="s">
        <v>235</v>
      </c>
      <c r="B88" s="4">
        <v>3.3172857142857102</v>
      </c>
      <c r="C88" s="4">
        <v>3.31928571428571</v>
      </c>
      <c r="D88" s="4">
        <v>3.3170000000000002</v>
      </c>
      <c r="E88" s="4">
        <v>3.3210000000000002</v>
      </c>
    </row>
    <row r="89" spans="1:5" x14ac:dyDescent="0.3">
      <c r="A89" s="3" t="s">
        <v>236</v>
      </c>
      <c r="B89" s="4">
        <v>3.3142857142857101</v>
      </c>
      <c r="C89" s="4">
        <v>3.3164285714285699</v>
      </c>
      <c r="D89" s="4">
        <v>3.3140000000000001</v>
      </c>
      <c r="E89" s="4">
        <v>3.3170000000000002</v>
      </c>
    </row>
    <row r="90" spans="1:5" x14ac:dyDescent="0.3">
      <c r="A90" s="3" t="s">
        <v>237</v>
      </c>
      <c r="B90" s="4">
        <v>3.3074285714285701</v>
      </c>
      <c r="C90" s="4">
        <v>3.3085714285714301</v>
      </c>
      <c r="D90" s="4">
        <v>3.306</v>
      </c>
      <c r="E90" s="4">
        <v>3.3119999999999998</v>
      </c>
    </row>
    <row r="91" spans="1:5" x14ac:dyDescent="0.3">
      <c r="A91" s="3" t="s">
        <v>238</v>
      </c>
      <c r="B91" s="4">
        <v>3.3135714285714299</v>
      </c>
      <c r="C91" s="4">
        <v>3.31528571428571</v>
      </c>
      <c r="D91" s="4">
        <v>3.3130000000000002</v>
      </c>
      <c r="E91" s="4">
        <v>3.3149999999999999</v>
      </c>
    </row>
    <row r="92" spans="1:5" x14ac:dyDescent="0.3">
      <c r="A92" s="3" t="s">
        <v>239</v>
      </c>
      <c r="B92" s="4">
        <v>3.3</v>
      </c>
      <c r="C92" s="4">
        <v>3.3014285714285698</v>
      </c>
      <c r="D92" s="4">
        <v>3.3</v>
      </c>
      <c r="E92" s="4">
        <v>3.3039999999999998</v>
      </c>
    </row>
    <row r="93" spans="1:5" x14ac:dyDescent="0.3">
      <c r="A93" s="3" t="s">
        <v>240</v>
      </c>
      <c r="B93" s="4">
        <v>3.3107142857142899</v>
      </c>
      <c r="C93" s="4">
        <v>3.3119999999999998</v>
      </c>
      <c r="D93" s="4">
        <v>3.306</v>
      </c>
      <c r="E93" s="4">
        <v>3.3119999999999998</v>
      </c>
    </row>
    <row r="94" spans="1:5" x14ac:dyDescent="0.3">
      <c r="A94" s="3" t="s">
        <v>241</v>
      </c>
      <c r="B94" s="4">
        <v>3.3138571428571399</v>
      </c>
      <c r="C94" s="4">
        <v>3.3149999999999999</v>
      </c>
      <c r="D94" s="4">
        <v>3.3119999999999998</v>
      </c>
      <c r="E94" s="4">
        <v>3.3149999999999999</v>
      </c>
    </row>
    <row r="95" spans="1:5" x14ac:dyDescent="0.3">
      <c r="A95" s="3" t="s">
        <v>242</v>
      </c>
      <c r="B95" s="4">
        <v>3.3144285714285702</v>
      </c>
      <c r="C95" s="4">
        <v>3.3155714285714302</v>
      </c>
      <c r="D95" s="4">
        <v>3.3130000000000002</v>
      </c>
      <c r="E95" s="4">
        <v>3.3159999999999998</v>
      </c>
    </row>
    <row r="96" spans="1:5" x14ac:dyDescent="0.3">
      <c r="A96" s="3" t="s">
        <v>243</v>
      </c>
      <c r="B96" s="4">
        <v>3.3220000000000001</v>
      </c>
      <c r="C96" s="4">
        <v>3.3231428571428601</v>
      </c>
      <c r="D96" s="4">
        <v>3.3210000000000002</v>
      </c>
      <c r="E96" s="4">
        <v>3.3220000000000001</v>
      </c>
    </row>
    <row r="97" spans="1:5" x14ac:dyDescent="0.3">
      <c r="A97" s="3" t="s">
        <v>244</v>
      </c>
      <c r="B97" s="4">
        <v>3.3140000000000001</v>
      </c>
      <c r="C97" s="4">
        <v>3.3154285714285701</v>
      </c>
      <c r="D97" s="4">
        <v>3.3140000000000001</v>
      </c>
      <c r="E97" s="4">
        <v>3.3180000000000001</v>
      </c>
    </row>
    <row r="98" spans="1:5" x14ac:dyDescent="0.3">
      <c r="A98" s="3" t="s">
        <v>245</v>
      </c>
      <c r="B98" s="4">
        <v>3.3311428571428601</v>
      </c>
      <c r="C98" s="4">
        <v>3.3327142857142902</v>
      </c>
      <c r="D98" s="4">
        <v>3.3290000000000002</v>
      </c>
      <c r="E98" s="4">
        <v>3.3319999999999999</v>
      </c>
    </row>
    <row r="99" spans="1:5" x14ac:dyDescent="0.3">
      <c r="A99" s="3" t="s">
        <v>246</v>
      </c>
      <c r="B99" s="4">
        <v>3.3214285714285698</v>
      </c>
      <c r="C99" s="4">
        <v>3.3231428571428601</v>
      </c>
      <c r="D99" s="4">
        <v>3.3210000000000002</v>
      </c>
      <c r="E99" s="4">
        <v>3.3250000000000002</v>
      </c>
    </row>
    <row r="100" spans="1:5" x14ac:dyDescent="0.3">
      <c r="A100" s="3" t="s">
        <v>247</v>
      </c>
      <c r="B100" s="4">
        <v>3.3214285714285698</v>
      </c>
      <c r="C100" s="4">
        <v>3.3228571428571398</v>
      </c>
      <c r="D100" s="4">
        <v>3.32</v>
      </c>
      <c r="E100" s="4">
        <v>3.3239999999999998</v>
      </c>
    </row>
    <row r="101" spans="1:5" x14ac:dyDescent="0.3">
      <c r="A101" s="3" t="s">
        <v>248</v>
      </c>
      <c r="B101" s="4">
        <v>3.3157142857142898</v>
      </c>
      <c r="C101" s="4">
        <v>3.3167142857142902</v>
      </c>
      <c r="D101" s="4">
        <v>3.3140000000000001</v>
      </c>
      <c r="E101" s="4">
        <v>3.3180000000000001</v>
      </c>
    </row>
    <row r="102" spans="1:5" x14ac:dyDescent="0.3">
      <c r="A102" s="3" t="s">
        <v>249</v>
      </c>
      <c r="B102" s="4">
        <v>3.3149999999999999</v>
      </c>
      <c r="C102" s="4">
        <v>3.3170000000000002</v>
      </c>
      <c r="D102" s="4">
        <v>3.3210000000000002</v>
      </c>
      <c r="E102" s="4">
        <v>3.3239999999999998</v>
      </c>
    </row>
    <row r="103" spans="1:5" x14ac:dyDescent="0.3">
      <c r="A103" s="3" t="s">
        <v>250</v>
      </c>
      <c r="B103" s="4">
        <v>3.3395714285714302</v>
      </c>
      <c r="C103" s="4">
        <v>3.3414285714285699</v>
      </c>
      <c r="D103" s="4">
        <v>3.3359999999999999</v>
      </c>
      <c r="E103" s="4">
        <v>3.34</v>
      </c>
    </row>
    <row r="104" spans="1:5" x14ac:dyDescent="0.3">
      <c r="A104" s="3" t="s">
        <v>251</v>
      </c>
      <c r="B104" s="4">
        <v>3.3438571428571402</v>
      </c>
      <c r="C104" s="4">
        <v>3.3454285714285699</v>
      </c>
      <c r="D104" s="4">
        <v>3.3439999999999999</v>
      </c>
      <c r="E104" s="4">
        <v>3.347</v>
      </c>
    </row>
    <row r="105" spans="1:5" x14ac:dyDescent="0.3">
      <c r="A105" s="3" t="s">
        <v>252</v>
      </c>
      <c r="B105" s="4">
        <v>3.34414285714286</v>
      </c>
      <c r="C105" s="4">
        <v>3.34557142857143</v>
      </c>
      <c r="D105" s="4">
        <v>3.3439999999999999</v>
      </c>
      <c r="E105" s="4">
        <v>3.347</v>
      </c>
    </row>
    <row r="106" spans="1:5" x14ac:dyDescent="0.3">
      <c r="A106" s="3" t="s">
        <v>253</v>
      </c>
      <c r="B106" s="4">
        <v>3.3494285714285699</v>
      </c>
      <c r="C106" s="4">
        <v>3.3508571428571399</v>
      </c>
      <c r="D106" s="4">
        <v>3.347</v>
      </c>
      <c r="E106" s="4">
        <v>3.35</v>
      </c>
    </row>
    <row r="107" spans="1:5" x14ac:dyDescent="0.3">
      <c r="A107" s="3" t="s">
        <v>254</v>
      </c>
      <c r="B107" s="4">
        <v>3.3438571428571402</v>
      </c>
      <c r="C107" s="4">
        <v>3.3448571428571401</v>
      </c>
      <c r="D107" s="4">
        <v>3.3410000000000002</v>
      </c>
      <c r="E107" s="4">
        <v>3.3460000000000001</v>
      </c>
    </row>
    <row r="108" spans="1:5" x14ac:dyDescent="0.3">
      <c r="A108" s="3" t="s">
        <v>255</v>
      </c>
      <c r="B108" s="4">
        <v>3.3468571428571399</v>
      </c>
      <c r="C108" s="4">
        <v>3.34814285714286</v>
      </c>
      <c r="D108" s="4">
        <v>3.3439999999999999</v>
      </c>
      <c r="E108" s="4">
        <v>3.351</v>
      </c>
    </row>
    <row r="109" spans="1:5" x14ac:dyDescent="0.3">
      <c r="A109" s="3" t="s">
        <v>256</v>
      </c>
      <c r="B109" s="4">
        <v>3.3540000000000001</v>
      </c>
      <c r="C109" s="4">
        <v>3.3554285714285701</v>
      </c>
      <c r="D109" s="4">
        <v>3.3530000000000002</v>
      </c>
      <c r="E109" s="4">
        <v>3.355</v>
      </c>
    </row>
    <row r="110" spans="1:5" x14ac:dyDescent="0.3">
      <c r="A110" s="3" t="s">
        <v>257</v>
      </c>
      <c r="B110" s="4">
        <v>3.3559999999999999</v>
      </c>
      <c r="C110" s="4">
        <v>3.35757142857143</v>
      </c>
      <c r="D110" s="4">
        <v>3.3540000000000001</v>
      </c>
      <c r="E110" s="4">
        <v>3.3580000000000001</v>
      </c>
    </row>
    <row r="111" spans="1:5" x14ac:dyDescent="0.3">
      <c r="A111" s="3" t="s">
        <v>258</v>
      </c>
      <c r="B111" s="4">
        <v>3.3622857142857101</v>
      </c>
      <c r="C111" s="4">
        <v>3.3635714285714302</v>
      </c>
      <c r="D111" s="4">
        <v>3.3580000000000001</v>
      </c>
      <c r="E111" s="4">
        <v>3.363</v>
      </c>
    </row>
    <row r="112" spans="1:5" x14ac:dyDescent="0.3">
      <c r="A112" s="3" t="s">
        <v>259</v>
      </c>
      <c r="B112" s="4">
        <v>3.3722857142857099</v>
      </c>
      <c r="C112" s="4">
        <v>3.3740000000000001</v>
      </c>
      <c r="D112" s="4">
        <v>3.367</v>
      </c>
      <c r="E112" s="4">
        <v>3.37</v>
      </c>
    </row>
    <row r="113" spans="1:5" x14ac:dyDescent="0.3">
      <c r="A113" s="3" t="s">
        <v>260</v>
      </c>
      <c r="B113" s="4">
        <v>3.3704285714285702</v>
      </c>
      <c r="C113" s="4">
        <v>3.37242857142857</v>
      </c>
      <c r="D113" s="4">
        <v>3.3719999999999999</v>
      </c>
      <c r="E113" s="4">
        <v>3.3730000000000002</v>
      </c>
    </row>
    <row r="114" spans="1:5" x14ac:dyDescent="0.3">
      <c r="A114" s="3" t="s">
        <v>261</v>
      </c>
      <c r="B114" s="4">
        <v>3.3478571428571402</v>
      </c>
      <c r="C114" s="4">
        <v>3.3492857142857102</v>
      </c>
      <c r="D114" s="4">
        <v>3.3479999999999999</v>
      </c>
      <c r="E114" s="4">
        <v>3.351</v>
      </c>
    </row>
    <row r="115" spans="1:5" x14ac:dyDescent="0.3">
      <c r="A115" s="3" t="s">
        <v>262</v>
      </c>
      <c r="B115" s="4">
        <v>3.3487142857142902</v>
      </c>
      <c r="C115" s="4">
        <v>3.3502857142857101</v>
      </c>
      <c r="D115" s="4">
        <v>3.351</v>
      </c>
      <c r="E115" s="4">
        <v>3.3530000000000002</v>
      </c>
    </row>
    <row r="116" spans="1:5" x14ac:dyDescent="0.3">
      <c r="A116" s="3" t="s">
        <v>263</v>
      </c>
      <c r="B116" s="4">
        <v>3.33357142857143</v>
      </c>
      <c r="C116" s="4">
        <v>3.3348571428571399</v>
      </c>
      <c r="D116" s="4">
        <v>3.335</v>
      </c>
      <c r="E116" s="4">
        <v>3.3380000000000001</v>
      </c>
    </row>
    <row r="117" spans="1:5" x14ac:dyDescent="0.3">
      <c r="A117" s="3" t="s">
        <v>264</v>
      </c>
      <c r="B117" s="4">
        <v>3.3327142857142902</v>
      </c>
      <c r="C117" s="4">
        <v>3.3337142857142901</v>
      </c>
      <c r="D117" s="4">
        <v>3.331</v>
      </c>
      <c r="E117" s="4">
        <v>3.3359999999999999</v>
      </c>
    </row>
    <row r="118" spans="1:5" x14ac:dyDescent="0.3">
      <c r="A118" s="3" t="s">
        <v>265</v>
      </c>
      <c r="B118" s="4">
        <v>3.3318571428571402</v>
      </c>
      <c r="C118" s="4">
        <v>3.3342857142857101</v>
      </c>
      <c r="D118" s="4">
        <v>3.3319999999999999</v>
      </c>
      <c r="E118" s="4">
        <v>3.335</v>
      </c>
    </row>
    <row r="119" spans="1:5" x14ac:dyDescent="0.3">
      <c r="A119" s="3" t="s">
        <v>266</v>
      </c>
      <c r="B119" s="4">
        <v>3.3282857142857099</v>
      </c>
      <c r="C119" s="4">
        <v>3.32985714285714</v>
      </c>
      <c r="D119" s="4">
        <v>3.3290000000000002</v>
      </c>
      <c r="E119" s="4">
        <v>3.3319999999999999</v>
      </c>
    </row>
    <row r="120" spans="1:5" x14ac:dyDescent="0.3">
      <c r="A120" s="3" t="s">
        <v>267</v>
      </c>
      <c r="B120" s="4">
        <v>3.3301428571428602</v>
      </c>
      <c r="C120" s="4">
        <v>3.3319999999999999</v>
      </c>
      <c r="D120" s="4">
        <v>3.3290000000000002</v>
      </c>
      <c r="E120" s="4">
        <v>3.331</v>
      </c>
    </row>
    <row r="121" spans="1:5" x14ac:dyDescent="0.3">
      <c r="A121" s="3" t="s">
        <v>268</v>
      </c>
      <c r="B121" s="4">
        <v>3.32985714285714</v>
      </c>
      <c r="C121" s="4">
        <v>3.3314285714285701</v>
      </c>
      <c r="D121" s="4">
        <v>3.3290000000000002</v>
      </c>
      <c r="E121" s="4">
        <v>3.3319999999999999</v>
      </c>
    </row>
    <row r="122" spans="1:5" x14ac:dyDescent="0.3">
      <c r="A122" s="3" t="s">
        <v>269</v>
      </c>
      <c r="B122" s="4">
        <v>3.3372857142857102</v>
      </c>
      <c r="C122" s="4">
        <v>3.339</v>
      </c>
      <c r="D122" s="4">
        <v>3.3330000000000002</v>
      </c>
      <c r="E122" s="4">
        <v>3.34</v>
      </c>
    </row>
    <row r="123" spans="1:5" x14ac:dyDescent="0.3">
      <c r="A123" s="3" t="s">
        <v>270</v>
      </c>
      <c r="B123" s="4">
        <v>3.34671428571429</v>
      </c>
      <c r="C123" s="4">
        <v>3.3487142857142902</v>
      </c>
      <c r="D123" s="4">
        <v>3.3450000000000002</v>
      </c>
      <c r="E123" s="4">
        <v>3.3479999999999999</v>
      </c>
    </row>
    <row r="124" spans="1:5" x14ac:dyDescent="0.3">
      <c r="A124" s="3" t="s">
        <v>271</v>
      </c>
      <c r="B124" s="4">
        <v>3.3354285714285701</v>
      </c>
      <c r="C124" s="4">
        <v>3.3368571428571401</v>
      </c>
      <c r="D124" s="4">
        <v>3.335</v>
      </c>
      <c r="E124" s="4">
        <v>3.34</v>
      </c>
    </row>
    <row r="125" spans="1:5" x14ac:dyDescent="0.3">
      <c r="A125" s="3" t="s">
        <v>272</v>
      </c>
      <c r="B125" s="4">
        <v>3.33214285714286</v>
      </c>
      <c r="C125" s="4">
        <v>3.3337142857142901</v>
      </c>
      <c r="D125" s="4">
        <v>3.3330000000000002</v>
      </c>
      <c r="E125" s="4">
        <v>3.3359999999999999</v>
      </c>
    </row>
    <row r="126" spans="1:5" x14ac:dyDescent="0.3">
      <c r="A126" s="3" t="s">
        <v>273</v>
      </c>
      <c r="B126" s="4">
        <v>3.31</v>
      </c>
      <c r="C126" s="4">
        <v>3.3112857142857099</v>
      </c>
      <c r="D126" s="4">
        <v>3.3090000000000002</v>
      </c>
      <c r="E126" s="4">
        <v>3.3130000000000002</v>
      </c>
    </row>
    <row r="127" spans="1:5" x14ac:dyDescent="0.3">
      <c r="A127" s="3" t="s">
        <v>274</v>
      </c>
      <c r="B127" s="4">
        <v>3.3011428571428598</v>
      </c>
      <c r="C127" s="4">
        <v>3.3028571428571398</v>
      </c>
      <c r="D127" s="4">
        <v>3.302</v>
      </c>
      <c r="E127" s="4">
        <v>3.306</v>
      </c>
    </row>
    <row r="128" spans="1:5" x14ac:dyDescent="0.3">
      <c r="A128" s="3" t="s">
        <v>275</v>
      </c>
      <c r="B128" s="4">
        <v>3.2989999999999999</v>
      </c>
      <c r="C128" s="4">
        <v>3.3002857142857098</v>
      </c>
      <c r="D128" s="4">
        <v>3.2970000000000002</v>
      </c>
      <c r="E128" s="4">
        <v>3.302</v>
      </c>
    </row>
    <row r="129" spans="1:5" x14ac:dyDescent="0.3">
      <c r="A129" s="3" t="s">
        <v>276</v>
      </c>
      <c r="B129" s="4">
        <v>3.29685714285714</v>
      </c>
      <c r="C129" s="4">
        <v>3.2981428571428602</v>
      </c>
      <c r="D129" s="4">
        <v>3.2949999999999999</v>
      </c>
      <c r="E129" s="4">
        <v>3.298</v>
      </c>
    </row>
    <row r="130" spans="1:5" x14ac:dyDescent="0.3">
      <c r="A130" s="3" t="s">
        <v>277</v>
      </c>
      <c r="B130" s="4">
        <v>3.2971428571428598</v>
      </c>
      <c r="C130" s="4">
        <v>3.2988571428571398</v>
      </c>
      <c r="D130" s="4">
        <v>3.2970000000000002</v>
      </c>
      <c r="E130" s="4">
        <v>3.3010000000000002</v>
      </c>
    </row>
    <row r="131" spans="1:5" x14ac:dyDescent="0.3">
      <c r="A131" s="3" t="s">
        <v>278</v>
      </c>
      <c r="B131" s="4">
        <v>3.2908571428571398</v>
      </c>
      <c r="C131" s="4">
        <v>3.2921428571428599</v>
      </c>
      <c r="D131" s="4">
        <v>3.29</v>
      </c>
      <c r="E131" s="4">
        <v>3.294</v>
      </c>
    </row>
    <row r="132" spans="1:5" x14ac:dyDescent="0.3">
      <c r="A132" s="3" t="s">
        <v>279</v>
      </c>
      <c r="B132" s="4">
        <v>3.2878571428571401</v>
      </c>
      <c r="C132" s="4">
        <v>3.2895714285714299</v>
      </c>
      <c r="D132" s="4">
        <v>3.2850000000000001</v>
      </c>
      <c r="E132" s="4">
        <v>3.29</v>
      </c>
    </row>
    <row r="133" spans="1:5" x14ac:dyDescent="0.3">
      <c r="A133" s="3" t="s">
        <v>280</v>
      </c>
      <c r="B133" s="4">
        <v>3.2882857142857098</v>
      </c>
      <c r="C133" s="4">
        <v>3.29</v>
      </c>
      <c r="D133" s="4">
        <v>3.2879999999999998</v>
      </c>
      <c r="E133" s="4">
        <v>3.2909999999999999</v>
      </c>
    </row>
    <row r="134" spans="1:5" x14ac:dyDescent="0.3">
      <c r="A134" s="3" t="s">
        <v>281</v>
      </c>
      <c r="B134" s="4">
        <v>3.2904285714285701</v>
      </c>
      <c r="C134" s="4">
        <v>3.29142857142857</v>
      </c>
      <c r="D134" s="4">
        <v>3.2879999999999998</v>
      </c>
      <c r="E134" s="4">
        <v>3.2919999999999998</v>
      </c>
    </row>
    <row r="135" spans="1:5" x14ac:dyDescent="0.3">
      <c r="A135" s="3" t="s">
        <v>282</v>
      </c>
      <c r="B135" s="4">
        <v>3.2945714285714298</v>
      </c>
      <c r="C135" s="4">
        <v>3.2957142857142898</v>
      </c>
      <c r="D135" s="4">
        <v>3.294</v>
      </c>
      <c r="E135" s="4">
        <v>3.2959999999999998</v>
      </c>
    </row>
    <row r="136" spans="1:5" x14ac:dyDescent="0.3">
      <c r="A136" s="3" t="s">
        <v>283</v>
      </c>
      <c r="B136" s="4">
        <v>3.2894285714285698</v>
      </c>
      <c r="C136" s="4">
        <v>3.2909999999999999</v>
      </c>
      <c r="D136" s="4">
        <v>3.286</v>
      </c>
      <c r="E136" s="4">
        <v>3.294</v>
      </c>
    </row>
    <row r="137" spans="1:5" x14ac:dyDescent="0.3">
      <c r="A137" s="3" t="s">
        <v>284</v>
      </c>
      <c r="B137" s="4">
        <v>3.2949999999999999</v>
      </c>
      <c r="C137" s="4">
        <v>3.2961428571428599</v>
      </c>
      <c r="D137" s="4">
        <v>3.2930000000000001</v>
      </c>
      <c r="E137" s="4">
        <v>3.298</v>
      </c>
    </row>
    <row r="138" spans="1:5" x14ac:dyDescent="0.3">
      <c r="A138" s="3" t="s">
        <v>285</v>
      </c>
      <c r="B138" s="4">
        <v>3.2875714285714301</v>
      </c>
      <c r="C138" s="4">
        <v>3.2890000000000001</v>
      </c>
      <c r="D138" s="4">
        <v>3.286</v>
      </c>
      <c r="E138" s="4">
        <v>3.2930000000000001</v>
      </c>
    </row>
    <row r="139" spans="1:5" x14ac:dyDescent="0.3">
      <c r="A139" s="3" t="s">
        <v>286</v>
      </c>
      <c r="B139" s="4">
        <v>3.2907142857142899</v>
      </c>
      <c r="C139" s="4">
        <v>3.2918571428571402</v>
      </c>
      <c r="D139" s="4">
        <v>3.2879999999999998</v>
      </c>
      <c r="E139" s="4">
        <v>3.2930000000000001</v>
      </c>
    </row>
    <row r="140" spans="1:5" x14ac:dyDescent="0.3">
      <c r="A140" s="3" t="s">
        <v>287</v>
      </c>
      <c r="B140" s="4">
        <v>3.2858571428571399</v>
      </c>
      <c r="C140" s="4">
        <v>3.2868571428571398</v>
      </c>
      <c r="D140" s="4">
        <v>3.2850000000000001</v>
      </c>
      <c r="E140" s="4">
        <v>3.2879999999999998</v>
      </c>
    </row>
    <row r="141" spans="1:5" x14ac:dyDescent="0.3">
      <c r="A141" s="3" t="s">
        <v>288</v>
      </c>
      <c r="B141" s="4">
        <v>3.2832857142857099</v>
      </c>
      <c r="C141" s="4">
        <v>3.28485714285714</v>
      </c>
      <c r="D141" s="4">
        <v>3.2810000000000001</v>
      </c>
      <c r="E141" s="4">
        <v>3.286</v>
      </c>
    </row>
    <row r="142" spans="1:5" x14ac:dyDescent="0.3">
      <c r="A142" s="3" t="s">
        <v>289</v>
      </c>
      <c r="B142" s="4">
        <v>3.2825714285714298</v>
      </c>
      <c r="C142" s="4">
        <v>3.2835714285714301</v>
      </c>
      <c r="D142" s="4">
        <v>3.2810000000000001</v>
      </c>
      <c r="E142" s="4">
        <v>3.2850000000000001</v>
      </c>
    </row>
    <row r="143" spans="1:5" x14ac:dyDescent="0.3">
      <c r="A143" s="3" t="s">
        <v>290</v>
      </c>
      <c r="B143" s="4">
        <v>3.2847142857142901</v>
      </c>
      <c r="C143" s="4">
        <v>3.2858571428571399</v>
      </c>
      <c r="D143" s="4">
        <v>3.2839999999999998</v>
      </c>
      <c r="E143" s="4">
        <v>3.286</v>
      </c>
    </row>
    <row r="144" spans="1:5" x14ac:dyDescent="0.3">
      <c r="A144" s="3" t="s">
        <v>291</v>
      </c>
      <c r="B144" s="4">
        <v>3.2861428571428601</v>
      </c>
      <c r="C144" s="4">
        <v>3.28742857142857</v>
      </c>
      <c r="D144" s="4">
        <v>3.2850000000000001</v>
      </c>
      <c r="E144" s="4">
        <v>3.2879999999999998</v>
      </c>
    </row>
    <row r="145" spans="1:5" x14ac:dyDescent="0.3">
      <c r="A145" s="3" t="s">
        <v>292</v>
      </c>
      <c r="B145" s="4">
        <v>3.2851428571428598</v>
      </c>
      <c r="C145" s="4">
        <v>3.2864285714285701</v>
      </c>
      <c r="D145" s="4">
        <v>3.2839999999999998</v>
      </c>
      <c r="E145" s="4">
        <v>3.2869999999999999</v>
      </c>
    </row>
    <row r="146" spans="1:5" x14ac:dyDescent="0.3">
      <c r="A146" s="3" t="s">
        <v>293</v>
      </c>
      <c r="B146" s="4">
        <v>3.2865714285714298</v>
      </c>
      <c r="C146" s="4">
        <v>3.2879999999999998</v>
      </c>
      <c r="D146" s="4">
        <v>3.2850000000000001</v>
      </c>
      <c r="E146" s="4">
        <v>3.2879999999999998</v>
      </c>
    </row>
    <row r="147" spans="1:5" x14ac:dyDescent="0.3">
      <c r="A147" s="3" t="s">
        <v>294</v>
      </c>
      <c r="B147" s="4">
        <v>3.28342857142857</v>
      </c>
      <c r="C147" s="4">
        <v>3.28457142857143</v>
      </c>
      <c r="D147" s="4">
        <v>3.282</v>
      </c>
      <c r="E147" s="4">
        <v>3.286</v>
      </c>
    </row>
    <row r="148" spans="1:5" x14ac:dyDescent="0.3">
      <c r="A148" s="3" t="s">
        <v>295</v>
      </c>
      <c r="B148" s="4">
        <v>3.2841428571428599</v>
      </c>
      <c r="C148" s="4">
        <v>3.28571428571429</v>
      </c>
      <c r="D148" s="4">
        <v>3.2829999999999999</v>
      </c>
      <c r="E148" s="4">
        <v>3.2869999999999999</v>
      </c>
    </row>
    <row r="149" spans="1:5" x14ac:dyDescent="0.3">
      <c r="A149" s="3" t="s">
        <v>296</v>
      </c>
      <c r="B149" s="4">
        <v>3.2915714285714301</v>
      </c>
      <c r="C149" s="4">
        <v>3.2927142857142901</v>
      </c>
      <c r="D149" s="4">
        <v>3.29</v>
      </c>
      <c r="E149" s="4">
        <v>3.2919999999999998</v>
      </c>
    </row>
    <row r="150" spans="1:5" x14ac:dyDescent="0.3">
      <c r="A150" s="3" t="s">
        <v>297</v>
      </c>
      <c r="B150" s="4">
        <v>3.2930000000000001</v>
      </c>
      <c r="C150" s="4">
        <v>3.294</v>
      </c>
      <c r="D150" s="4">
        <v>3.2909999999999999</v>
      </c>
      <c r="E150" s="4">
        <v>3.294</v>
      </c>
    </row>
    <row r="151" spans="1:5" x14ac:dyDescent="0.3">
      <c r="A151" s="3" t="s">
        <v>298</v>
      </c>
      <c r="B151" s="4">
        <v>3.29771428571429</v>
      </c>
      <c r="C151" s="4">
        <v>3.29914285714286</v>
      </c>
      <c r="D151" s="4">
        <v>3.2959999999999998</v>
      </c>
      <c r="E151" s="4">
        <v>3.3</v>
      </c>
    </row>
    <row r="152" spans="1:5" x14ac:dyDescent="0.3">
      <c r="A152" s="3" t="s">
        <v>299</v>
      </c>
      <c r="B152" s="4">
        <v>3.2978571428571399</v>
      </c>
      <c r="C152" s="4">
        <v>3.29942857142857</v>
      </c>
      <c r="D152" s="4">
        <v>3.2970000000000002</v>
      </c>
      <c r="E152" s="4">
        <v>3.3</v>
      </c>
    </row>
    <row r="153" spans="1:5" x14ac:dyDescent="0.3">
      <c r="A153" s="3" t="s">
        <v>300</v>
      </c>
      <c r="B153" s="4">
        <v>3.3095714285714299</v>
      </c>
      <c r="C153" s="4">
        <v>3.3108571428571398</v>
      </c>
      <c r="D153" s="4">
        <v>3.3079999999999998</v>
      </c>
      <c r="E153" s="4">
        <v>3.31</v>
      </c>
    </row>
    <row r="154" spans="1:5" x14ac:dyDescent="0.3">
      <c r="A154" s="3" t="s">
        <v>301</v>
      </c>
      <c r="B154" s="4">
        <v>3.3182857142857101</v>
      </c>
      <c r="C154" s="4">
        <v>3.3197142857142898</v>
      </c>
      <c r="D154" s="4">
        <v>3.3159999999999998</v>
      </c>
      <c r="E154" s="4">
        <v>3.319</v>
      </c>
    </row>
    <row r="155" spans="1:5" x14ac:dyDescent="0.3">
      <c r="A155" s="3" t="s">
        <v>302</v>
      </c>
      <c r="B155" s="4">
        <v>3.34557142857143</v>
      </c>
      <c r="C155" s="4">
        <v>3.347</v>
      </c>
      <c r="D155" s="4">
        <v>3.343</v>
      </c>
      <c r="E155" s="4">
        <v>3.3460000000000001</v>
      </c>
    </row>
    <row r="156" spans="1:5" x14ac:dyDescent="0.3">
      <c r="A156" s="3" t="s">
        <v>303</v>
      </c>
      <c r="B156" s="4">
        <v>3.38271428571429</v>
      </c>
      <c r="C156" s="4">
        <v>3.3845714285714301</v>
      </c>
      <c r="D156" s="4">
        <v>3.375</v>
      </c>
      <c r="E156" s="4">
        <v>3.3849999999999998</v>
      </c>
    </row>
    <row r="157" spans="1:5" x14ac:dyDescent="0.3">
      <c r="A157" s="3" t="s">
        <v>304</v>
      </c>
      <c r="B157" s="4">
        <v>3.38014285714286</v>
      </c>
      <c r="C157" s="4">
        <v>3.3824285714285698</v>
      </c>
      <c r="D157" s="4">
        <v>3.38</v>
      </c>
      <c r="E157" s="4">
        <v>3.3839999999999999</v>
      </c>
    </row>
    <row r="158" spans="1:5" x14ac:dyDescent="0.3">
      <c r="A158" s="3" t="s">
        <v>305</v>
      </c>
      <c r="B158" s="4">
        <v>3.38328571428571</v>
      </c>
      <c r="C158" s="4">
        <v>3.3849999999999998</v>
      </c>
      <c r="D158" s="4">
        <v>3.379</v>
      </c>
      <c r="E158" s="4">
        <v>3.3820000000000001</v>
      </c>
    </row>
    <row r="159" spans="1:5" x14ac:dyDescent="0.3">
      <c r="A159" s="3" t="s">
        <v>306</v>
      </c>
      <c r="B159" s="4">
        <v>3.3797142857142899</v>
      </c>
      <c r="C159" s="4">
        <v>3.3812857142857098</v>
      </c>
      <c r="D159" s="4">
        <v>3.379</v>
      </c>
      <c r="E159" s="4">
        <v>3.3820000000000001</v>
      </c>
    </row>
    <row r="160" spans="1:5" x14ac:dyDescent="0.3">
      <c r="A160" s="3" t="s">
        <v>307</v>
      </c>
      <c r="B160" s="4">
        <v>3.3805714285714301</v>
      </c>
      <c r="C160" s="4">
        <v>3.38185714285714</v>
      </c>
      <c r="D160" s="4">
        <v>3.379</v>
      </c>
      <c r="E160" s="4">
        <v>3.383</v>
      </c>
    </row>
    <row r="161" spans="1:5" x14ac:dyDescent="0.3">
      <c r="A161" s="3" t="s">
        <v>308</v>
      </c>
      <c r="B161" s="4">
        <v>3.3875714285714298</v>
      </c>
      <c r="C161" s="4">
        <v>3.3891428571428599</v>
      </c>
      <c r="D161" s="4">
        <v>3.3860000000000001</v>
      </c>
      <c r="E161" s="4">
        <v>3.3889999999999998</v>
      </c>
    </row>
    <row r="162" spans="1:5" x14ac:dyDescent="0.3">
      <c r="A162" s="3" t="s">
        <v>309</v>
      </c>
      <c r="B162" s="4">
        <v>3.3774285714285699</v>
      </c>
      <c r="C162" s="4">
        <v>3.3788571428571399</v>
      </c>
      <c r="D162" s="4">
        <v>3.375</v>
      </c>
      <c r="E162" s="4">
        <v>3.3769999999999998</v>
      </c>
    </row>
    <row r="163" spans="1:5" x14ac:dyDescent="0.3">
      <c r="A163" s="3" t="s">
        <v>310</v>
      </c>
      <c r="B163" s="4">
        <v>3.3931428571428599</v>
      </c>
      <c r="C163" s="4">
        <v>3.3942857142857101</v>
      </c>
      <c r="D163" s="4">
        <v>3.3889999999999998</v>
      </c>
      <c r="E163" s="4">
        <v>3.3889999999999998</v>
      </c>
    </row>
    <row r="164" spans="1:5" x14ac:dyDescent="0.3">
      <c r="A164" s="3" t="s">
        <v>311</v>
      </c>
      <c r="B164" s="4">
        <v>3.3919999999999999</v>
      </c>
      <c r="C164" s="4">
        <v>3.3932857142857098</v>
      </c>
      <c r="D164" s="4">
        <v>3.39</v>
      </c>
      <c r="E164" s="4">
        <v>3.3940000000000001</v>
      </c>
    </row>
    <row r="165" spans="1:5" x14ac:dyDescent="0.3">
      <c r="A165" s="3" t="s">
        <v>312</v>
      </c>
      <c r="B165" s="4">
        <v>3.3824285714285698</v>
      </c>
      <c r="C165" s="4">
        <v>3.3842857142857099</v>
      </c>
      <c r="D165" s="4">
        <v>3.3820000000000001</v>
      </c>
      <c r="E165" s="4">
        <v>3.3860000000000001</v>
      </c>
    </row>
    <row r="166" spans="1:5" x14ac:dyDescent="0.3">
      <c r="A166" s="3" t="s">
        <v>313</v>
      </c>
      <c r="B166" s="4">
        <v>3.3845714285714301</v>
      </c>
      <c r="C166" s="4">
        <v>3.3857142857142901</v>
      </c>
      <c r="D166" s="4">
        <v>3.3820000000000001</v>
      </c>
      <c r="E166" s="4">
        <v>3.3860000000000001</v>
      </c>
    </row>
    <row r="167" spans="1:5" x14ac:dyDescent="0.3">
      <c r="A167" s="3" t="s">
        <v>314</v>
      </c>
      <c r="B167" s="4">
        <v>3.3797142857142899</v>
      </c>
      <c r="C167" s="4">
        <v>3.3809999999999998</v>
      </c>
      <c r="D167" s="4">
        <v>3.379</v>
      </c>
      <c r="E167" s="4">
        <v>3.3809999999999998</v>
      </c>
    </row>
    <row r="168" spans="1:5" x14ac:dyDescent="0.3">
      <c r="A168" s="3" t="s">
        <v>315</v>
      </c>
      <c r="B168" s="4">
        <v>3.37642857142857</v>
      </c>
      <c r="C168" s="4">
        <v>3.3780000000000001</v>
      </c>
      <c r="D168" s="4">
        <v>3.3759999999999999</v>
      </c>
      <c r="E168" s="4">
        <v>3.379</v>
      </c>
    </row>
    <row r="169" spans="1:5" x14ac:dyDescent="0.3">
      <c r="A169" s="3" t="s">
        <v>316</v>
      </c>
      <c r="B169" s="4">
        <v>3.3777142857142901</v>
      </c>
      <c r="C169" s="4">
        <v>3.3791428571428601</v>
      </c>
      <c r="D169" s="4">
        <v>3.3780000000000001</v>
      </c>
      <c r="E169" s="4">
        <v>3.3814000000000002</v>
      </c>
    </row>
    <row r="170" spans="1:5" x14ac:dyDescent="0.3">
      <c r="A170" s="3" t="s">
        <v>317</v>
      </c>
      <c r="B170" s="4">
        <v>3.3741428571428602</v>
      </c>
      <c r="C170" s="4">
        <v>3.3754285714285701</v>
      </c>
      <c r="D170" s="4">
        <v>3.3740000000000001</v>
      </c>
      <c r="E170" s="4">
        <v>3.3769999999999998</v>
      </c>
    </row>
    <row r="171" spans="1:5" x14ac:dyDescent="0.3">
      <c r="A171" s="3" t="s">
        <v>318</v>
      </c>
      <c r="B171" s="4">
        <v>3.3782857142857101</v>
      </c>
      <c r="C171" s="4">
        <v>3.3794285714285701</v>
      </c>
      <c r="D171" s="4">
        <v>3.3769999999999998</v>
      </c>
      <c r="E171" s="4">
        <v>3.379</v>
      </c>
    </row>
    <row r="172" spans="1:5" x14ac:dyDescent="0.3">
      <c r="A172" s="3" t="s">
        <v>319</v>
      </c>
      <c r="B172" s="4">
        <v>3.3875714285714298</v>
      </c>
      <c r="C172" s="4">
        <v>3.3888571428571401</v>
      </c>
      <c r="D172" s="4">
        <v>3.3849999999999998</v>
      </c>
      <c r="E172" s="4">
        <v>3.3879999999999999</v>
      </c>
    </row>
    <row r="173" spans="1:5" x14ac:dyDescent="0.3">
      <c r="A173" s="3" t="s">
        <v>320</v>
      </c>
      <c r="B173" s="4">
        <v>3.3969999999999998</v>
      </c>
      <c r="C173" s="4">
        <v>3.3897142857142901</v>
      </c>
      <c r="D173" s="4">
        <v>3.3919999999999999</v>
      </c>
      <c r="E173" s="4">
        <v>3.399</v>
      </c>
    </row>
    <row r="174" spans="1:5" x14ac:dyDescent="0.3">
      <c r="A174" s="3" t="s">
        <v>321</v>
      </c>
      <c r="B174" s="4">
        <v>3.4022857142857101</v>
      </c>
      <c r="C174" s="4">
        <v>3.4045714285714301</v>
      </c>
      <c r="D174" s="4">
        <v>3.3959999999999999</v>
      </c>
      <c r="E174" s="4">
        <v>3.4049999999999998</v>
      </c>
    </row>
    <row r="175" spans="1:5" x14ac:dyDescent="0.3">
      <c r="A175" s="3" t="s">
        <v>322</v>
      </c>
      <c r="B175" s="4">
        <v>3.40414285714286</v>
      </c>
      <c r="C175" s="4">
        <v>3.4057142857142901</v>
      </c>
      <c r="D175" s="4">
        <v>3.403</v>
      </c>
      <c r="E175" s="4">
        <v>3.4049999999999998</v>
      </c>
    </row>
    <row r="176" spans="1:5" x14ac:dyDescent="0.3">
      <c r="A176" s="3" t="s">
        <v>323</v>
      </c>
      <c r="B176" s="4">
        <v>3.3877142857142899</v>
      </c>
      <c r="C176" s="4">
        <v>3.38928571428572</v>
      </c>
      <c r="D176" s="4">
        <v>3.3889999999999998</v>
      </c>
      <c r="E176" s="4">
        <v>3.3919999999999999</v>
      </c>
    </row>
    <row r="177" spans="1:5" x14ac:dyDescent="0.3">
      <c r="A177" s="3" t="s">
        <v>324</v>
      </c>
      <c r="B177" s="4">
        <v>3.3631428571428601</v>
      </c>
      <c r="C177" s="4">
        <v>3.36442857142857</v>
      </c>
      <c r="D177" s="4">
        <v>3.3660000000000001</v>
      </c>
      <c r="E177" s="4">
        <v>3.367</v>
      </c>
    </row>
    <row r="178" spans="1:5" x14ac:dyDescent="0.3">
      <c r="A178" s="3" t="s">
        <v>325</v>
      </c>
      <c r="B178" s="4">
        <v>3.34157142857143</v>
      </c>
      <c r="C178" s="4">
        <v>3.34328571428571</v>
      </c>
      <c r="D178" s="4">
        <v>3.3439999999999999</v>
      </c>
      <c r="E178" s="4">
        <v>3.3460000000000001</v>
      </c>
    </row>
    <row r="179" spans="1:5" x14ac:dyDescent="0.3">
      <c r="A179" s="3" t="s">
        <v>326</v>
      </c>
      <c r="B179" s="4">
        <v>3.3445714285714301</v>
      </c>
      <c r="C179" s="4">
        <v>3.34585714285714</v>
      </c>
      <c r="D179" s="4">
        <v>3.343</v>
      </c>
      <c r="E179" s="4">
        <v>3.347</v>
      </c>
    </row>
    <row r="180" spans="1:5" x14ac:dyDescent="0.3">
      <c r="A180" s="3" t="s">
        <v>327</v>
      </c>
      <c r="B180" s="4">
        <v>3.3451428571428599</v>
      </c>
      <c r="C180" s="4">
        <v>3.34671428571429</v>
      </c>
      <c r="D180" s="4">
        <v>3.3439999999999999</v>
      </c>
      <c r="E180" s="4">
        <v>3.3479999999999999</v>
      </c>
    </row>
    <row r="181" spans="1:5" x14ac:dyDescent="0.3">
      <c r="A181" s="3" t="s">
        <v>328</v>
      </c>
      <c r="B181" s="4">
        <v>3.34328571428571</v>
      </c>
      <c r="C181" s="4">
        <v>3.3445714285714301</v>
      </c>
      <c r="D181" s="4">
        <v>3.3420000000000001</v>
      </c>
      <c r="E181" s="4">
        <v>3.3439999999999999</v>
      </c>
    </row>
    <row r="182" spans="1:5" x14ac:dyDescent="0.3">
      <c r="A182" s="3" t="s">
        <v>329</v>
      </c>
      <c r="B182" s="4">
        <v>3.32814285714286</v>
      </c>
      <c r="C182" s="4">
        <v>3.32957142857143</v>
      </c>
      <c r="D182" s="4">
        <v>3.3279999999999998</v>
      </c>
      <c r="E182" s="4">
        <v>3.331</v>
      </c>
    </row>
    <row r="183" spans="1:5" x14ac:dyDescent="0.3">
      <c r="A183" s="3" t="s">
        <v>330</v>
      </c>
      <c r="B183" s="4">
        <v>3.3159999999999998</v>
      </c>
      <c r="C183" s="4">
        <v>3.3177142857142901</v>
      </c>
      <c r="D183" s="4">
        <v>3.3149999999999999</v>
      </c>
      <c r="E183" s="4">
        <v>3.3180000000000001</v>
      </c>
    </row>
    <row r="184" spans="1:5" x14ac:dyDescent="0.3">
      <c r="A184" s="3" t="s">
        <v>331</v>
      </c>
      <c r="B184" s="4">
        <v>3.32442857142857</v>
      </c>
      <c r="C184" s="4">
        <v>3.327</v>
      </c>
      <c r="D184" s="4">
        <v>3.3220000000000001</v>
      </c>
      <c r="E184" s="4">
        <v>3.327</v>
      </c>
    </row>
    <row r="185" spans="1:5" x14ac:dyDescent="0.3">
      <c r="A185" s="3" t="s">
        <v>332</v>
      </c>
      <c r="B185" s="4">
        <v>3.3434285714285701</v>
      </c>
      <c r="C185" s="4">
        <v>3.3448571428571401</v>
      </c>
      <c r="D185" s="4">
        <v>3.3410000000000002</v>
      </c>
      <c r="E185" s="4">
        <v>3.3450000000000002</v>
      </c>
    </row>
    <row r="186" spans="1:5" x14ac:dyDescent="0.3">
      <c r="A186" s="3" t="s">
        <v>333</v>
      </c>
      <c r="B186" s="4">
        <v>3.3437142857142899</v>
      </c>
      <c r="C186" s="4">
        <v>3.3450000000000002</v>
      </c>
      <c r="D186" s="4">
        <v>3.3420000000000001</v>
      </c>
      <c r="E186" s="4">
        <v>3.3450000000000002</v>
      </c>
    </row>
    <row r="187" spans="1:5" x14ac:dyDescent="0.3">
      <c r="A187" s="3" t="s">
        <v>334</v>
      </c>
      <c r="B187" s="4">
        <v>3.3530000000000002</v>
      </c>
      <c r="C187" s="4">
        <v>3.3544285714285702</v>
      </c>
      <c r="D187" s="4">
        <v>3.3530000000000002</v>
      </c>
      <c r="E187" s="4">
        <v>3.3540000000000001</v>
      </c>
    </row>
    <row r="188" spans="1:5" x14ac:dyDescent="0.3">
      <c r="A188" s="3" t="s">
        <v>335</v>
      </c>
      <c r="B188" s="4">
        <v>3.3588571428571399</v>
      </c>
      <c r="C188" s="4">
        <v>3.3612857142857102</v>
      </c>
      <c r="D188" s="4">
        <v>3.3570000000000002</v>
      </c>
      <c r="E188" s="4">
        <v>3.3610000000000002</v>
      </c>
    </row>
    <row r="189" spans="1:5" x14ac:dyDescent="0.3">
      <c r="A189" s="3" t="s">
        <v>336</v>
      </c>
      <c r="B189" s="4">
        <v>3.3621428571428602</v>
      </c>
      <c r="C189" s="4">
        <v>3.3635714285714302</v>
      </c>
      <c r="D189" s="4">
        <v>3.3620000000000001</v>
      </c>
      <c r="E189" s="4">
        <v>3.3639999999999999</v>
      </c>
    </row>
    <row r="190" spans="1:5" x14ac:dyDescent="0.3">
      <c r="A190" s="3" t="s">
        <v>337</v>
      </c>
      <c r="B190" s="4">
        <v>3.3439999999999999</v>
      </c>
      <c r="C190" s="4">
        <v>3.3457142857142901</v>
      </c>
      <c r="D190" s="4">
        <v>3.3439999999999999</v>
      </c>
      <c r="E190" s="4">
        <v>3.3460000000000001</v>
      </c>
    </row>
    <row r="191" spans="1:5" x14ac:dyDescent="0.3">
      <c r="A191" s="3" t="s">
        <v>338</v>
      </c>
      <c r="B191" s="4">
        <v>3.3504285714285702</v>
      </c>
      <c r="C191" s="4">
        <v>3.3518571428571402</v>
      </c>
      <c r="D191" s="4">
        <v>3.3479999999999999</v>
      </c>
      <c r="E191" s="4">
        <v>3.3519999999999999</v>
      </c>
    </row>
    <row r="192" spans="1:5" x14ac:dyDescent="0.3">
      <c r="A192" s="3" t="s">
        <v>339</v>
      </c>
      <c r="B192" s="4">
        <v>3.3638571428571402</v>
      </c>
      <c r="C192" s="4">
        <v>3.36585714285714</v>
      </c>
      <c r="D192" s="4">
        <v>3.3620000000000001</v>
      </c>
      <c r="E192" s="4">
        <v>3.3650000000000002</v>
      </c>
    </row>
    <row r="193" spans="1:5" x14ac:dyDescent="0.3">
      <c r="A193" s="3" t="s">
        <v>340</v>
      </c>
      <c r="B193" s="4">
        <v>3.383</v>
      </c>
      <c r="C193" s="4">
        <v>3.38728571428571</v>
      </c>
      <c r="D193" s="4">
        <v>3.3839999999999999</v>
      </c>
      <c r="E193" s="4">
        <v>3.395</v>
      </c>
    </row>
    <row r="194" spans="1:5" x14ac:dyDescent="0.3">
      <c r="A194" s="3" t="s">
        <v>341</v>
      </c>
      <c r="B194" s="4">
        <v>3.38157142857143</v>
      </c>
      <c r="C194" s="4">
        <v>3.3831428571428601</v>
      </c>
      <c r="D194" s="4">
        <v>3.3820000000000001</v>
      </c>
      <c r="E194" s="4">
        <v>3.3849999999999998</v>
      </c>
    </row>
    <row r="195" spans="1:5" x14ac:dyDescent="0.3">
      <c r="A195" s="3" t="s">
        <v>342</v>
      </c>
      <c r="B195" s="4">
        <v>3.3902857142857101</v>
      </c>
      <c r="C195" s="4">
        <v>3.3922857142857099</v>
      </c>
      <c r="D195" s="4">
        <v>3.39</v>
      </c>
      <c r="E195" s="4">
        <v>3.3929999999999998</v>
      </c>
    </row>
    <row r="196" spans="1:5" x14ac:dyDescent="0.3">
      <c r="A196" s="3" t="s">
        <v>343</v>
      </c>
      <c r="B196" s="4">
        <v>3.38557142857143</v>
      </c>
      <c r="C196" s="4">
        <v>3.387</v>
      </c>
      <c r="D196" s="4">
        <v>3.3860000000000001</v>
      </c>
      <c r="E196" s="4">
        <v>3.3879999999999999</v>
      </c>
    </row>
    <row r="197" spans="1:5" x14ac:dyDescent="0.3">
      <c r="A197" s="3" t="s">
        <v>344</v>
      </c>
      <c r="B197" s="4">
        <v>3.3745714285714299</v>
      </c>
      <c r="C197" s="4">
        <v>3.3767142857142902</v>
      </c>
      <c r="D197" s="4">
        <v>3.3759999999999999</v>
      </c>
      <c r="E197" s="4">
        <v>3.3780000000000001</v>
      </c>
    </row>
    <row r="198" spans="1:5" x14ac:dyDescent="0.3">
      <c r="A198" s="3" t="s">
        <v>345</v>
      </c>
      <c r="B198" s="4">
        <v>3.3752857142857202</v>
      </c>
      <c r="C198" s="4">
        <v>3.3774285714285699</v>
      </c>
      <c r="D198" s="4">
        <v>3.375</v>
      </c>
      <c r="E198" s="4">
        <v>3.3780000000000001</v>
      </c>
    </row>
    <row r="199" spans="1:5" x14ac:dyDescent="0.3">
      <c r="A199" s="3" t="s">
        <v>346</v>
      </c>
      <c r="B199" s="4">
        <v>3.3860000000000001</v>
      </c>
      <c r="C199" s="4">
        <v>3.3879999999999999</v>
      </c>
      <c r="D199" s="4">
        <v>3.3839999999999999</v>
      </c>
      <c r="E199" s="4">
        <v>3.3879999999999999</v>
      </c>
    </row>
    <row r="200" spans="1:5" x14ac:dyDescent="0.3">
      <c r="A200" s="3" t="s">
        <v>347</v>
      </c>
      <c r="B200" s="4">
        <v>3.3745714285714299</v>
      </c>
      <c r="C200" s="4">
        <v>3.37642857142857</v>
      </c>
      <c r="D200" s="4">
        <v>3.3769999999999998</v>
      </c>
      <c r="E200" s="4">
        <v>3.379</v>
      </c>
    </row>
    <row r="201" spans="1:5" x14ac:dyDescent="0.3">
      <c r="A201" s="3" t="s">
        <v>348</v>
      </c>
      <c r="B201" s="4">
        <v>3.35928571428571</v>
      </c>
      <c r="C201" s="4">
        <v>3.36185714285714</v>
      </c>
      <c r="D201" s="4">
        <v>3.3580000000000001</v>
      </c>
      <c r="E201" s="4">
        <v>3.3610000000000002</v>
      </c>
    </row>
    <row r="202" spans="1:5" x14ac:dyDescent="0.3">
      <c r="A202" s="3" t="s">
        <v>349</v>
      </c>
      <c r="B202" s="4">
        <v>3.35614285714286</v>
      </c>
      <c r="C202" s="4">
        <v>3.35757142857143</v>
      </c>
      <c r="D202" s="4">
        <v>3.3559999999999999</v>
      </c>
      <c r="E202" s="4">
        <v>3.3570000000000002</v>
      </c>
    </row>
    <row r="203" spans="1:5" x14ac:dyDescent="0.3">
      <c r="A203" s="3" t="s">
        <v>350</v>
      </c>
      <c r="B203" s="4">
        <v>3.3650000000000002</v>
      </c>
      <c r="C203" s="4">
        <v>3.3668571428571399</v>
      </c>
      <c r="D203" s="4">
        <v>3.36</v>
      </c>
      <c r="E203" s="4">
        <v>3.3650000000000002</v>
      </c>
    </row>
    <row r="204" spans="1:5" x14ac:dyDescent="0.3">
      <c r="A204" s="3" t="s">
        <v>351</v>
      </c>
      <c r="B204" s="4">
        <v>3.3697142857142901</v>
      </c>
      <c r="C204" s="4">
        <v>3.3715714285714302</v>
      </c>
      <c r="D204" s="4">
        <v>3.367</v>
      </c>
      <c r="E204" s="4">
        <v>3.3719999999999999</v>
      </c>
    </row>
    <row r="205" spans="1:5" x14ac:dyDescent="0.3">
      <c r="A205" s="3" t="s">
        <v>352</v>
      </c>
      <c r="B205" s="4">
        <v>3.3675714285714302</v>
      </c>
      <c r="C205" s="4">
        <v>3.3694285714285699</v>
      </c>
      <c r="D205" s="4">
        <v>3.3650000000000002</v>
      </c>
      <c r="E205" s="4">
        <v>3.37</v>
      </c>
    </row>
    <row r="206" spans="1:5" x14ac:dyDescent="0.3">
      <c r="A206" s="3" t="s">
        <v>353</v>
      </c>
      <c r="B206" s="4">
        <v>3.35214285714286</v>
      </c>
      <c r="C206" s="4">
        <v>3.3540000000000001</v>
      </c>
      <c r="D206" s="4">
        <v>3.3540000000000001</v>
      </c>
      <c r="E206" s="4">
        <v>3.355</v>
      </c>
    </row>
    <row r="207" spans="1:5" x14ac:dyDescent="0.3">
      <c r="A207" s="3" t="s">
        <v>354</v>
      </c>
      <c r="B207" s="4">
        <v>3.3434285714285701</v>
      </c>
      <c r="C207" s="4">
        <v>3.3460000000000001</v>
      </c>
      <c r="D207" s="4">
        <v>3.343</v>
      </c>
      <c r="E207" s="4">
        <v>3.347</v>
      </c>
    </row>
    <row r="208" spans="1:5" x14ac:dyDescent="0.3">
      <c r="A208" s="3" t="s">
        <v>355</v>
      </c>
      <c r="B208" s="4">
        <v>3.3424285714285702</v>
      </c>
      <c r="C208" s="4">
        <v>3.3450000000000002</v>
      </c>
      <c r="D208" s="4">
        <v>3.343</v>
      </c>
      <c r="E208" s="4">
        <v>3.347</v>
      </c>
    </row>
    <row r="209" spans="1:5" x14ac:dyDescent="0.3">
      <c r="A209" s="3" t="s">
        <v>356</v>
      </c>
      <c r="B209" s="4">
        <v>3.34042857142857</v>
      </c>
      <c r="C209" s="4">
        <v>3.34271428571429</v>
      </c>
      <c r="D209" s="4">
        <v>3.3370000000000002</v>
      </c>
      <c r="E209" s="4">
        <v>3.3420000000000001</v>
      </c>
    </row>
    <row r="210" spans="1:5" x14ac:dyDescent="0.3">
      <c r="A210" s="3" t="s">
        <v>357</v>
      </c>
      <c r="B210" s="4">
        <v>3.3447142857142902</v>
      </c>
      <c r="C210" s="4">
        <v>3.3461428571428602</v>
      </c>
      <c r="D210" s="4">
        <v>3.3439999999999999</v>
      </c>
      <c r="E210" s="4">
        <v>3.347</v>
      </c>
    </row>
    <row r="211" spans="1:5" x14ac:dyDescent="0.3">
      <c r="A211" s="3" t="s">
        <v>358</v>
      </c>
      <c r="B211" s="4">
        <v>3.3477142857142899</v>
      </c>
      <c r="C211" s="4">
        <v>3.3490000000000002</v>
      </c>
      <c r="D211" s="4">
        <v>3.3479999999999999</v>
      </c>
      <c r="E211" s="4">
        <v>3.35</v>
      </c>
    </row>
    <row r="212" spans="1:5" x14ac:dyDescent="0.3">
      <c r="A212" s="3" t="s">
        <v>359</v>
      </c>
      <c r="B212" s="4">
        <v>3.34442857142857</v>
      </c>
      <c r="C212" s="4">
        <v>3.3461428571428602</v>
      </c>
      <c r="D212" s="4">
        <v>3.3460000000000001</v>
      </c>
      <c r="E212" s="4">
        <v>3.351</v>
      </c>
    </row>
    <row r="213" spans="1:5" x14ac:dyDescent="0.3">
      <c r="A213" s="3" t="s">
        <v>360</v>
      </c>
      <c r="B213" s="4">
        <v>3.3308571428571399</v>
      </c>
      <c r="C213" s="4">
        <v>3.33214285714286</v>
      </c>
      <c r="D213" s="4">
        <v>3.33</v>
      </c>
      <c r="E213" s="4">
        <v>3.335</v>
      </c>
    </row>
    <row r="214" spans="1:5" x14ac:dyDescent="0.3">
      <c r="A214" s="3" t="s">
        <v>361</v>
      </c>
      <c r="B214" s="4">
        <v>3.3359999999999999</v>
      </c>
      <c r="C214" s="4">
        <v>3.3371428571428599</v>
      </c>
      <c r="D214" s="4">
        <v>3.3340000000000001</v>
      </c>
      <c r="E214" s="4">
        <v>3.34</v>
      </c>
    </row>
    <row r="215" spans="1:5" x14ac:dyDescent="0.3">
      <c r="A215" s="3" t="s">
        <v>362</v>
      </c>
      <c r="B215" s="4">
        <v>3.3468571428571399</v>
      </c>
      <c r="C215" s="4">
        <v>3.3482857142857099</v>
      </c>
      <c r="D215" s="4">
        <v>3.3450000000000002</v>
      </c>
      <c r="E215" s="4">
        <v>3.3490000000000002</v>
      </c>
    </row>
    <row r="216" spans="1:5" x14ac:dyDescent="0.3">
      <c r="A216" s="3" t="s">
        <v>363</v>
      </c>
      <c r="B216" s="4">
        <v>3.3332857142857102</v>
      </c>
      <c r="C216" s="4">
        <v>3.33471428571429</v>
      </c>
      <c r="D216" s="4">
        <v>3.3319999999999999</v>
      </c>
      <c r="E216" s="4">
        <v>3.3359999999999999</v>
      </c>
    </row>
    <row r="217" spans="1:5" x14ac:dyDescent="0.3">
      <c r="A217" s="3" t="s">
        <v>364</v>
      </c>
      <c r="B217" s="4">
        <v>3.3359999999999999</v>
      </c>
      <c r="C217" s="4">
        <v>3.3372857142857102</v>
      </c>
      <c r="D217" s="4">
        <v>3.3359999999999999</v>
      </c>
      <c r="E217" s="4">
        <v>3.339</v>
      </c>
    </row>
    <row r="218" spans="1:5" x14ac:dyDescent="0.3">
      <c r="A218" s="3" t="s">
        <v>365</v>
      </c>
      <c r="B218" s="4">
        <v>3.33871428571429</v>
      </c>
      <c r="C218" s="4">
        <v>3.3398571428571402</v>
      </c>
      <c r="D218" s="4">
        <v>3.339</v>
      </c>
      <c r="E218" s="4">
        <v>3.3410000000000002</v>
      </c>
    </row>
    <row r="219" spans="1:5" x14ac:dyDescent="0.3">
      <c r="A219" s="3" t="s">
        <v>366</v>
      </c>
      <c r="B219" s="4">
        <v>3.3438571428571402</v>
      </c>
      <c r="C219" s="4">
        <v>3.3457142857142901</v>
      </c>
      <c r="D219" s="4">
        <v>3.3420000000000001</v>
      </c>
      <c r="E219" s="4">
        <v>3.3450000000000002</v>
      </c>
    </row>
    <row r="220" spans="1:5" x14ac:dyDescent="0.3">
      <c r="A220" s="3" t="s">
        <v>367</v>
      </c>
      <c r="B220" s="4">
        <v>3.3537142857142901</v>
      </c>
      <c r="C220" s="4">
        <v>3.35528571428571</v>
      </c>
      <c r="D220" s="4">
        <v>3.35</v>
      </c>
      <c r="E220" s="4">
        <v>3.3530000000000002</v>
      </c>
    </row>
    <row r="221" spans="1:5" x14ac:dyDescent="0.3">
      <c r="A221" s="3" t="s">
        <v>368</v>
      </c>
      <c r="B221" s="4">
        <v>3.3598571428571402</v>
      </c>
      <c r="C221" s="4">
        <v>3.3638571428571402</v>
      </c>
      <c r="D221" s="4">
        <v>3.359</v>
      </c>
      <c r="E221" s="4">
        <v>3.3639999999999999</v>
      </c>
    </row>
    <row r="222" spans="1:5" x14ac:dyDescent="0.3">
      <c r="A222" s="3" t="s">
        <v>369</v>
      </c>
      <c r="B222" s="4">
        <v>3.3744285714285698</v>
      </c>
      <c r="C222" s="4">
        <v>3.3765714285714301</v>
      </c>
      <c r="D222" s="4">
        <v>3.371</v>
      </c>
      <c r="E222" s="4">
        <v>3.3759999999999999</v>
      </c>
    </row>
    <row r="223" spans="1:5" x14ac:dyDescent="0.3">
      <c r="A223" s="3" t="s">
        <v>370</v>
      </c>
      <c r="B223" s="4">
        <v>3.3915714285714298</v>
      </c>
      <c r="C223" s="4">
        <v>3.3934285714285699</v>
      </c>
      <c r="D223" s="4">
        <v>3.39</v>
      </c>
      <c r="E223" s="4">
        <v>3.3919999999999999</v>
      </c>
    </row>
    <row r="224" spans="1:5" x14ac:dyDescent="0.3">
      <c r="A224" s="3" t="s">
        <v>371</v>
      </c>
      <c r="B224" s="4">
        <v>3.38985714285714</v>
      </c>
      <c r="C224" s="4">
        <v>3.39128571428571</v>
      </c>
      <c r="D224" s="4">
        <v>3.387</v>
      </c>
      <c r="E224" s="4">
        <v>3.391</v>
      </c>
    </row>
    <row r="225" spans="1:5" x14ac:dyDescent="0.3">
      <c r="A225" s="3" t="s">
        <v>372</v>
      </c>
      <c r="B225" s="4">
        <v>3.36842857142857</v>
      </c>
      <c r="C225" s="4">
        <v>3.3702857142857199</v>
      </c>
      <c r="D225" s="4">
        <v>3.3679999999999999</v>
      </c>
      <c r="E225" s="4">
        <v>3.3730000000000002</v>
      </c>
    </row>
    <row r="226" spans="1:5" x14ac:dyDescent="0.3">
      <c r="A226" s="3" t="s">
        <v>373</v>
      </c>
      <c r="B226" s="4">
        <v>3.3682857142857099</v>
      </c>
      <c r="C226" s="4">
        <v>3.3708571428571399</v>
      </c>
      <c r="D226" s="4">
        <v>3.367</v>
      </c>
      <c r="E226" s="4">
        <v>3.3719999999999999</v>
      </c>
    </row>
    <row r="227" spans="1:5" x14ac:dyDescent="0.3">
      <c r="A227" s="3" t="s">
        <v>374</v>
      </c>
      <c r="B227" s="4">
        <v>3.3772857142857098</v>
      </c>
      <c r="C227" s="4">
        <v>3.37871428571429</v>
      </c>
      <c r="D227" s="4">
        <v>3.3759999999999999</v>
      </c>
      <c r="E227" s="4">
        <v>3.3809999999999998</v>
      </c>
    </row>
    <row r="228" spans="1:5" x14ac:dyDescent="0.3">
      <c r="A228" s="3" t="s">
        <v>375</v>
      </c>
      <c r="B228" s="4">
        <v>3.38557142857143</v>
      </c>
      <c r="C228" s="4">
        <v>3.387</v>
      </c>
      <c r="D228" s="4">
        <v>3.3839999999999999</v>
      </c>
      <c r="E228" s="4">
        <v>3.387</v>
      </c>
    </row>
    <row r="229" spans="1:5" x14ac:dyDescent="0.3">
      <c r="A229" s="3" t="s">
        <v>376</v>
      </c>
      <c r="B229" s="4">
        <v>3.3762857142857099</v>
      </c>
      <c r="C229" s="4">
        <v>3.37871428571429</v>
      </c>
      <c r="D229" s="4">
        <v>3.375</v>
      </c>
      <c r="E229" s="4">
        <v>3.38</v>
      </c>
    </row>
    <row r="230" spans="1:5" x14ac:dyDescent="0.3">
      <c r="A230" s="3" t="s">
        <v>377</v>
      </c>
      <c r="B230" s="4">
        <v>3.3828571428571399</v>
      </c>
      <c r="C230" s="4">
        <v>3.38414285714286</v>
      </c>
      <c r="D230" s="4">
        <v>3.3820000000000001</v>
      </c>
      <c r="E230" s="4">
        <v>3.3849999999999998</v>
      </c>
    </row>
    <row r="231" spans="1:5" x14ac:dyDescent="0.3">
      <c r="A231" s="3" t="s">
        <v>378</v>
      </c>
      <c r="B231" s="4">
        <v>3.3849999999999998</v>
      </c>
      <c r="C231" s="4">
        <v>3.3877142857142899</v>
      </c>
      <c r="D231" s="4">
        <v>3.3849999999999998</v>
      </c>
      <c r="E231" s="4">
        <v>3.391</v>
      </c>
    </row>
    <row r="232" spans="1:5" x14ac:dyDescent="0.3">
      <c r="A232" s="3" t="s">
        <v>379</v>
      </c>
      <c r="B232" s="4">
        <v>3.3824285714285698</v>
      </c>
      <c r="C232" s="4">
        <v>3.3839999999999999</v>
      </c>
      <c r="D232" s="4">
        <v>3.3809999999999998</v>
      </c>
      <c r="E232" s="4">
        <v>3.3849999999999998</v>
      </c>
    </row>
    <row r="233" spans="1:5" x14ac:dyDescent="0.3">
      <c r="A233" s="3" t="s">
        <v>380</v>
      </c>
      <c r="B233" s="4">
        <v>3.3911428571428601</v>
      </c>
      <c r="C233" s="4">
        <v>3.3927142857142898</v>
      </c>
      <c r="D233" s="4">
        <v>3.391</v>
      </c>
      <c r="E233" s="4">
        <v>3.3940000000000001</v>
      </c>
    </row>
    <row r="234" spans="1:5" x14ac:dyDescent="0.3">
      <c r="A234" s="3" t="s">
        <v>381</v>
      </c>
      <c r="B234" s="4">
        <v>3.3875714285714298</v>
      </c>
      <c r="C234" s="4">
        <v>3.3889999999999998</v>
      </c>
      <c r="D234" s="4">
        <v>3.3849999999999998</v>
      </c>
      <c r="E234" s="4">
        <v>3.39</v>
      </c>
    </row>
    <row r="235" spans="1:5" x14ac:dyDescent="0.3">
      <c r="A235" s="3" t="s">
        <v>382</v>
      </c>
      <c r="B235" s="4">
        <v>3.3984285714285698</v>
      </c>
      <c r="C235" s="4">
        <v>3.40014285714286</v>
      </c>
      <c r="D235" s="4">
        <v>3.3940000000000001</v>
      </c>
      <c r="E235" s="4">
        <v>3.399</v>
      </c>
    </row>
    <row r="236" spans="1:5" x14ac:dyDescent="0.3">
      <c r="A236" s="3" t="s">
        <v>383</v>
      </c>
      <c r="B236" s="4">
        <v>3.3988571428571399</v>
      </c>
      <c r="C236" s="4">
        <v>3.4007142857142898</v>
      </c>
      <c r="D236" s="4">
        <v>3.399</v>
      </c>
      <c r="E236" s="4">
        <v>3.403</v>
      </c>
    </row>
    <row r="237" spans="1:5" x14ac:dyDescent="0.3">
      <c r="A237" s="3" t="s">
        <v>384</v>
      </c>
      <c r="B237" s="4">
        <v>3.38814285714286</v>
      </c>
      <c r="C237" s="4">
        <v>3.38985714285714</v>
      </c>
      <c r="D237" s="4">
        <v>3.3889999999999998</v>
      </c>
      <c r="E237" s="4">
        <v>3.391</v>
      </c>
    </row>
    <row r="238" spans="1:5" x14ac:dyDescent="0.3">
      <c r="A238" s="3" t="s">
        <v>385</v>
      </c>
      <c r="B238" s="4">
        <v>3.3814285714285699</v>
      </c>
      <c r="C238" s="4">
        <v>3.383</v>
      </c>
      <c r="D238" s="4">
        <v>3.383</v>
      </c>
      <c r="E238" s="4">
        <v>3.3860000000000001</v>
      </c>
    </row>
    <row r="239" spans="1:5" x14ac:dyDescent="0.3">
      <c r="A239" s="3" t="s">
        <v>386</v>
      </c>
      <c r="B239" s="4">
        <v>3.3757142857142899</v>
      </c>
      <c r="C239" s="4">
        <v>3.3772857142857098</v>
      </c>
      <c r="D239" s="4">
        <v>3.3740000000000001</v>
      </c>
      <c r="E239" s="4">
        <v>3.38</v>
      </c>
    </row>
    <row r="240" spans="1:5" x14ac:dyDescent="0.3">
      <c r="A240" s="3" t="s">
        <v>387</v>
      </c>
      <c r="B240" s="4">
        <v>3.3769999999999998</v>
      </c>
      <c r="C240" s="4">
        <v>3.3782857142857101</v>
      </c>
      <c r="D240" s="4">
        <v>3.375</v>
      </c>
      <c r="E240" s="4">
        <v>3.3809999999999998</v>
      </c>
    </row>
    <row r="241" spans="1:5" x14ac:dyDescent="0.3">
      <c r="A241" s="3" t="s">
        <v>388</v>
      </c>
      <c r="B241" s="4">
        <v>3.37785714285714</v>
      </c>
      <c r="C241" s="4">
        <v>3.3791428571428601</v>
      </c>
      <c r="D241" s="4">
        <v>3.3759999999999999</v>
      </c>
      <c r="E241" s="4">
        <v>3.38</v>
      </c>
    </row>
    <row r="242" spans="1:5" x14ac:dyDescent="0.3">
      <c r="A242" s="3" t="s">
        <v>389</v>
      </c>
      <c r="B242" s="4">
        <v>3.3897142857142901</v>
      </c>
      <c r="C242" s="4">
        <v>3.39128571428571</v>
      </c>
      <c r="D242" s="4">
        <v>3.387</v>
      </c>
      <c r="E242" s="4">
        <v>3.391</v>
      </c>
    </row>
    <row r="243" spans="1:5" x14ac:dyDescent="0.3">
      <c r="A243" s="3" t="s">
        <v>390</v>
      </c>
      <c r="B243" s="4">
        <v>3.3917142857142899</v>
      </c>
      <c r="C243" s="4">
        <v>3.3927142857142898</v>
      </c>
      <c r="D243" s="4">
        <v>3.39</v>
      </c>
      <c r="E243" s="4">
        <v>3.3929999999999998</v>
      </c>
    </row>
    <row r="244" spans="1:5" x14ac:dyDescent="0.3">
      <c r="A244" s="3" t="s">
        <v>391</v>
      </c>
      <c r="B244" s="4">
        <v>3.3887142857142898</v>
      </c>
      <c r="C244" s="4">
        <v>3.391</v>
      </c>
      <c r="D244" s="4">
        <v>3.3889999999999998</v>
      </c>
      <c r="E244" s="4">
        <v>3.3929999999999998</v>
      </c>
    </row>
    <row r="245" spans="1:5" x14ac:dyDescent="0.3">
      <c r="A245" s="3" t="s">
        <v>392</v>
      </c>
      <c r="B245" s="4">
        <v>3.36728571428571</v>
      </c>
      <c r="C245" s="4">
        <v>3.36928571428572</v>
      </c>
      <c r="D245" s="4">
        <v>3.367</v>
      </c>
      <c r="E245" s="4">
        <v>3.3730000000000002</v>
      </c>
    </row>
    <row r="246" spans="1:5" x14ac:dyDescent="0.3">
      <c r="A246" s="3" t="s">
        <v>393</v>
      </c>
      <c r="B246" s="4">
        <v>3.3562857142857099</v>
      </c>
      <c r="C246" s="4">
        <v>3.35871428571429</v>
      </c>
      <c r="D246" s="4">
        <v>3.355</v>
      </c>
      <c r="E246" s="4">
        <v>3.36</v>
      </c>
    </row>
    <row r="247" spans="1:5" x14ac:dyDescent="0.3">
      <c r="A247" s="3" t="s">
        <v>394</v>
      </c>
      <c r="B247" s="4">
        <v>3.3437142857142899</v>
      </c>
      <c r="C247" s="4">
        <v>3.3454285714285699</v>
      </c>
      <c r="D247" s="4">
        <v>3.3450000000000002</v>
      </c>
      <c r="E247" s="4">
        <v>3.3490000000000002</v>
      </c>
    </row>
    <row r="248" spans="1:5" x14ac:dyDescent="0.3">
      <c r="A248" s="3" t="s">
        <v>395</v>
      </c>
      <c r="B248" s="4">
        <v>3.3358571428571402</v>
      </c>
      <c r="C248" s="4">
        <v>3.3374285714285699</v>
      </c>
      <c r="D248" s="4">
        <v>3.3359999999999999</v>
      </c>
      <c r="E248" s="4">
        <v>3.34</v>
      </c>
    </row>
    <row r="249" spans="1:5" x14ac:dyDescent="0.3">
      <c r="A249" s="3" t="s">
        <v>396</v>
      </c>
      <c r="B249" s="4">
        <v>3.33642857142857</v>
      </c>
      <c r="C249" s="4">
        <v>3.3388571428571399</v>
      </c>
      <c r="D249" s="4">
        <v>3.335</v>
      </c>
      <c r="E249" s="4">
        <v>3.3380000000000001</v>
      </c>
    </row>
    <row r="250" spans="1:5" x14ac:dyDescent="0.3">
      <c r="A250" s="3" t="s">
        <v>397</v>
      </c>
      <c r="B250" s="4">
        <v>3.3211428571428598</v>
      </c>
      <c r="C250" s="4">
        <v>3.3235714285714302</v>
      </c>
      <c r="D250" s="4">
        <v>3.3210000000000002</v>
      </c>
      <c r="E250" s="4">
        <v>3.3260000000000001</v>
      </c>
    </row>
    <row r="251" spans="1:5" x14ac:dyDescent="0.3">
      <c r="A251" s="3" t="s">
        <v>398</v>
      </c>
      <c r="B251" s="4">
        <v>3.3147142857142899</v>
      </c>
      <c r="C251" s="4">
        <v>3.3161428571428599</v>
      </c>
      <c r="D251" s="4">
        <v>3.3140000000000001</v>
      </c>
      <c r="E251" s="4">
        <v>3.32</v>
      </c>
    </row>
    <row r="252" spans="1:5" x14ac:dyDescent="0.3">
      <c r="A252" s="3" t="s">
        <v>399</v>
      </c>
      <c r="B252" s="4">
        <v>3.3135714285714299</v>
      </c>
      <c r="C252" s="4">
        <v>3.3162857142857098</v>
      </c>
      <c r="D252" s="4">
        <v>3.3140000000000001</v>
      </c>
      <c r="E252" s="4">
        <v>3.319</v>
      </c>
    </row>
    <row r="253" spans="1:5" x14ac:dyDescent="0.3">
      <c r="A253" s="3" t="s">
        <v>400</v>
      </c>
      <c r="B253" s="4">
        <v>3.3182857142857101</v>
      </c>
      <c r="C253" s="4">
        <v>3.32</v>
      </c>
      <c r="D253" s="4">
        <v>3.319</v>
      </c>
      <c r="E253" s="4">
        <v>3.3220000000000001</v>
      </c>
    </row>
    <row r="254" spans="1:5" x14ac:dyDescent="0.3">
      <c r="A254" s="3" t="s">
        <v>401</v>
      </c>
      <c r="B254" s="4">
        <v>3.3207142857142902</v>
      </c>
      <c r="C254" s="4">
        <v>3.3220000000000001</v>
      </c>
      <c r="D254" s="4">
        <v>3.32</v>
      </c>
      <c r="E254" s="4">
        <v>3.3239999999999998</v>
      </c>
    </row>
    <row r="255" spans="1:5" x14ac:dyDescent="0.3">
      <c r="A255" s="3" t="s">
        <v>402</v>
      </c>
      <c r="B255" s="4">
        <v>3.3142857142857101</v>
      </c>
      <c r="C255" s="4">
        <v>3.3170000000000002</v>
      </c>
      <c r="D255" s="4">
        <v>3.3140000000000001</v>
      </c>
      <c r="E255" s="4">
        <v>3.319</v>
      </c>
    </row>
    <row r="256" spans="1:5" x14ac:dyDescent="0.3">
      <c r="A256" s="3" t="s">
        <v>403</v>
      </c>
      <c r="B256" s="4">
        <v>3.3114285714285701</v>
      </c>
      <c r="C256" s="4">
        <v>3.3145714285714298</v>
      </c>
      <c r="D256" s="4">
        <v>3.3109999999999999</v>
      </c>
      <c r="E256" s="4">
        <v>3.3170000000000002</v>
      </c>
    </row>
    <row r="257" spans="1:5" x14ac:dyDescent="0.3">
      <c r="A257" s="3" t="s">
        <v>404</v>
      </c>
      <c r="B257" s="4">
        <v>3.3010000000000002</v>
      </c>
      <c r="C257" s="4">
        <v>3.30314285714286</v>
      </c>
      <c r="D257" s="4">
        <v>3.3010000000000002</v>
      </c>
      <c r="E257" s="4">
        <v>3.3050000000000002</v>
      </c>
    </row>
    <row r="258" spans="1:5" x14ac:dyDescent="0.3">
      <c r="A258" s="3" t="s">
        <v>405</v>
      </c>
      <c r="B258" s="4">
        <v>3.3105714285714298</v>
      </c>
      <c r="C258" s="4">
        <v>3.3119999999999998</v>
      </c>
      <c r="D258" s="4">
        <v>3.3079999999999998</v>
      </c>
      <c r="E258" s="4">
        <v>3.3109999999999999</v>
      </c>
    </row>
    <row r="259" spans="1:5" x14ac:dyDescent="0.3">
      <c r="A259" s="3" t="s">
        <v>406</v>
      </c>
      <c r="B259" s="4">
        <v>3.3220000000000001</v>
      </c>
      <c r="C259" s="4">
        <v>3.3239999999999998</v>
      </c>
      <c r="D259" s="4">
        <v>3.32</v>
      </c>
      <c r="E259" s="4">
        <v>3.323</v>
      </c>
    </row>
    <row r="260" spans="1:5" x14ac:dyDescent="0.3">
      <c r="A260" s="3" t="s">
        <v>407</v>
      </c>
      <c r="B260" s="4">
        <v>3.32557142857143</v>
      </c>
      <c r="C260" s="4">
        <v>3.3265714285714298</v>
      </c>
      <c r="D260" s="4">
        <v>3.3250000000000002</v>
      </c>
      <c r="E260" s="4">
        <v>3.327</v>
      </c>
    </row>
    <row r="261" spans="1:5" x14ac:dyDescent="0.3">
      <c r="A261" s="3" t="s">
        <v>408</v>
      </c>
      <c r="B261" s="4">
        <v>3.3175714285714299</v>
      </c>
      <c r="C261" s="4">
        <v>3.3191428571428601</v>
      </c>
      <c r="D261" s="4">
        <v>3.3180000000000001</v>
      </c>
      <c r="E261" s="4">
        <v>3.32</v>
      </c>
    </row>
    <row r="262" spans="1:5" x14ac:dyDescent="0.3">
      <c r="A262" s="3" t="s">
        <v>409</v>
      </c>
      <c r="B262" s="4">
        <v>3.3184285714285702</v>
      </c>
      <c r="C262" s="4">
        <v>3.3198571428571402</v>
      </c>
      <c r="D262" s="4">
        <v>3.319</v>
      </c>
      <c r="E262" s="4">
        <v>3.3210000000000002</v>
      </c>
    </row>
    <row r="263" spans="1:5" x14ac:dyDescent="0.3">
      <c r="A263" s="3" t="s">
        <v>410</v>
      </c>
      <c r="B263" s="4">
        <v>3.3225714285714298</v>
      </c>
      <c r="C263" s="4">
        <v>3.3245714285714301</v>
      </c>
      <c r="D263" s="4">
        <v>3.3210000000000002</v>
      </c>
      <c r="E263" s="4">
        <v>3.3239999999999998</v>
      </c>
    </row>
    <row r="264" spans="1:5" x14ac:dyDescent="0.3">
      <c r="A264" s="3" t="s">
        <v>411</v>
      </c>
      <c r="B264" s="4">
        <v>3.33614285714286</v>
      </c>
      <c r="C264" s="4">
        <v>3.33785714285714</v>
      </c>
      <c r="D264" s="4">
        <v>3.3340000000000001</v>
      </c>
      <c r="E264" s="4">
        <v>3.3359999999999999</v>
      </c>
    </row>
    <row r="265" spans="1:5" x14ac:dyDescent="0.3">
      <c r="A265" s="3" t="s">
        <v>412</v>
      </c>
      <c r="B265" s="4">
        <v>3.3265714285714298</v>
      </c>
      <c r="C265" s="4">
        <v>3.3279999999999998</v>
      </c>
      <c r="D265" s="4">
        <v>3.3279999999999998</v>
      </c>
      <c r="E265" s="4">
        <v>3.33</v>
      </c>
    </row>
    <row r="266" spans="1:5" x14ac:dyDescent="0.3">
      <c r="A266" s="3" t="s">
        <v>413</v>
      </c>
      <c r="B266" s="4">
        <v>3.3228571428571398</v>
      </c>
      <c r="C266" s="4">
        <v>3.3247142857142902</v>
      </c>
      <c r="D266" s="4">
        <v>3.3220000000000001</v>
      </c>
      <c r="E266" s="4">
        <v>3.327</v>
      </c>
    </row>
    <row r="267" spans="1:5" x14ac:dyDescent="0.3">
      <c r="A267" s="3" t="s">
        <v>414</v>
      </c>
      <c r="B267" s="4">
        <v>3.3222857142857101</v>
      </c>
      <c r="C267" s="4">
        <v>3.3239999999999998</v>
      </c>
      <c r="D267" s="4">
        <v>3.3210000000000002</v>
      </c>
      <c r="E267" s="4">
        <v>3.3260000000000001</v>
      </c>
    </row>
    <row r="268" spans="1:5" x14ac:dyDescent="0.3">
      <c r="A268" s="3" t="s">
        <v>415</v>
      </c>
      <c r="B268" s="4">
        <v>3.3197142857142898</v>
      </c>
      <c r="C268" s="4">
        <v>3.32271428571429</v>
      </c>
      <c r="D268" s="4">
        <v>3.319</v>
      </c>
      <c r="E268" s="4">
        <v>3.3239999999999998</v>
      </c>
    </row>
    <row r="269" spans="1:5" x14ac:dyDescent="0.3">
      <c r="A269" s="3" t="s">
        <v>416</v>
      </c>
      <c r="B269" s="4">
        <v>3.3195714285714302</v>
      </c>
      <c r="C269" s="4">
        <v>3.3217142857142901</v>
      </c>
      <c r="D269" s="4">
        <v>3.3180000000000001</v>
      </c>
      <c r="E269" s="4">
        <v>3.323</v>
      </c>
    </row>
    <row r="270" spans="1:5" x14ac:dyDescent="0.3">
      <c r="A270" s="3" t="s">
        <v>417</v>
      </c>
      <c r="B270" s="4">
        <v>3.3172857142857102</v>
      </c>
      <c r="C270" s="4">
        <v>3.3185714285714298</v>
      </c>
      <c r="D270" s="4">
        <v>3.3170000000000002</v>
      </c>
      <c r="E270" s="4">
        <v>3.32</v>
      </c>
    </row>
    <row r="271" spans="1:5" x14ac:dyDescent="0.3">
      <c r="A271" s="3" t="s">
        <v>418</v>
      </c>
      <c r="B271" s="4">
        <v>3.3135714285714299</v>
      </c>
      <c r="C271" s="4">
        <v>3.3148571428571398</v>
      </c>
      <c r="D271" s="4">
        <v>3.3140000000000001</v>
      </c>
      <c r="E271" s="4">
        <v>3.3170000000000002</v>
      </c>
    </row>
    <row r="272" spans="1:5" x14ac:dyDescent="0.3">
      <c r="A272" s="3" t="s">
        <v>419</v>
      </c>
      <c r="B272" s="4">
        <v>3.3198571428571402</v>
      </c>
      <c r="C272" s="4">
        <v>3.3211428571428598</v>
      </c>
      <c r="D272" s="4">
        <v>3.32</v>
      </c>
      <c r="E272" s="4">
        <v>3.3220000000000001</v>
      </c>
    </row>
    <row r="273" spans="1:5" x14ac:dyDescent="0.3">
      <c r="A273" s="3" t="s">
        <v>420</v>
      </c>
      <c r="B273" s="4">
        <v>3.3212857142857102</v>
      </c>
      <c r="C273" s="4">
        <v>3.3225714285714298</v>
      </c>
      <c r="D273" s="4">
        <v>3.32</v>
      </c>
      <c r="E273" s="4">
        <v>3.3250000000000002</v>
      </c>
    </row>
    <row r="274" spans="1:5" x14ac:dyDescent="0.3">
      <c r="A274" s="3" t="s">
        <v>421</v>
      </c>
      <c r="B274" s="4">
        <v>3.33614285714286</v>
      </c>
      <c r="C274" s="4">
        <v>3.3377142857142901</v>
      </c>
      <c r="D274" s="4">
        <v>3.3359999999999999</v>
      </c>
      <c r="E274" s="4">
        <v>3.339</v>
      </c>
    </row>
    <row r="275" spans="1:5" x14ac:dyDescent="0.3">
      <c r="A275" s="3" t="s">
        <v>422</v>
      </c>
      <c r="B275" s="4">
        <v>3.3331428571428598</v>
      </c>
      <c r="C275" s="4">
        <v>3.3344285714285702</v>
      </c>
      <c r="D275" s="4">
        <v>3.3319999999999999</v>
      </c>
      <c r="E275" s="4">
        <v>3.335</v>
      </c>
    </row>
    <row r="276" spans="1:5" x14ac:dyDescent="0.3">
      <c r="A276" s="3" t="s">
        <v>423</v>
      </c>
      <c r="B276" s="4">
        <v>3.3452857142857102</v>
      </c>
      <c r="C276" s="4">
        <v>3.34671428571429</v>
      </c>
      <c r="D276" s="4">
        <v>3.343</v>
      </c>
      <c r="E276" s="4">
        <v>3.3450000000000002</v>
      </c>
    </row>
    <row r="277" spans="1:5" x14ac:dyDescent="0.3">
      <c r="A277" s="3" t="s">
        <v>424</v>
      </c>
      <c r="B277" s="4">
        <v>3.3610000000000002</v>
      </c>
      <c r="C277" s="4">
        <v>3.363</v>
      </c>
      <c r="D277" s="4">
        <v>3.359</v>
      </c>
      <c r="E277" s="4">
        <v>3.36</v>
      </c>
    </row>
    <row r="278" spans="1:5" x14ac:dyDescent="0.3">
      <c r="A278" s="3" t="s">
        <v>425</v>
      </c>
      <c r="B278" s="4">
        <v>3.375</v>
      </c>
      <c r="C278" s="4">
        <v>3.3774285714285699</v>
      </c>
      <c r="D278" s="4">
        <v>3.3730000000000002</v>
      </c>
      <c r="E278" s="4">
        <v>3.3759999999999999</v>
      </c>
    </row>
    <row r="279" spans="1:5" x14ac:dyDescent="0.3">
      <c r="A279" s="3" t="s">
        <v>426</v>
      </c>
      <c r="B279" s="4">
        <v>3.3730000000000002</v>
      </c>
      <c r="C279" s="4">
        <v>3.3745714285714299</v>
      </c>
      <c r="D279" s="4">
        <v>3.3719999999999999</v>
      </c>
      <c r="E279" s="4">
        <v>3.3740000000000001</v>
      </c>
    </row>
    <row r="280" spans="1:5" x14ac:dyDescent="0.3">
      <c r="A280" s="3" t="s">
        <v>427</v>
      </c>
      <c r="B280" s="4">
        <v>3.3594285714285701</v>
      </c>
      <c r="C280" s="4">
        <v>3.3608571428571401</v>
      </c>
      <c r="D280" s="4">
        <v>3.36</v>
      </c>
      <c r="E280" s="4">
        <v>3.3639999999999999</v>
      </c>
    </row>
    <row r="281" spans="1:5" x14ac:dyDescent="0.3">
      <c r="A281" s="3" t="s">
        <v>428</v>
      </c>
      <c r="B281" s="4">
        <v>3.35871428571429</v>
      </c>
      <c r="C281" s="4">
        <v>3.3602857142857201</v>
      </c>
      <c r="D281" s="4">
        <v>3.359</v>
      </c>
      <c r="E281" s="4">
        <v>3.36</v>
      </c>
    </row>
    <row r="282" spans="1:5" x14ac:dyDescent="0.3">
      <c r="A282" s="3" t="s">
        <v>429</v>
      </c>
      <c r="B282" s="4">
        <v>3.3722857142857099</v>
      </c>
      <c r="C282" s="4">
        <v>3.3741428571428602</v>
      </c>
      <c r="D282" s="4">
        <v>3.3690000000000002</v>
      </c>
      <c r="E282" s="4">
        <v>3.371</v>
      </c>
    </row>
    <row r="283" spans="1:5" x14ac:dyDescent="0.3">
      <c r="A283" s="3" t="s">
        <v>430</v>
      </c>
      <c r="B283" s="4">
        <v>3.3868571428571399</v>
      </c>
      <c r="C283" s="4">
        <v>3.3882857142857099</v>
      </c>
      <c r="D283" s="4">
        <v>3.3849999999999998</v>
      </c>
      <c r="E283" s="4">
        <v>3.3879999999999999</v>
      </c>
    </row>
    <row r="284" spans="1:5" x14ac:dyDescent="0.3">
      <c r="A284" s="3" t="s">
        <v>431</v>
      </c>
      <c r="B284" s="4">
        <v>3.3957142857142899</v>
      </c>
      <c r="C284" s="4">
        <v>3.3971428571428599</v>
      </c>
      <c r="D284" s="4">
        <v>3.3919999999999999</v>
      </c>
      <c r="E284" s="4">
        <v>3.3940000000000001</v>
      </c>
    </row>
    <row r="285" spans="1:5" x14ac:dyDescent="0.3">
      <c r="A285" s="3" t="s">
        <v>432</v>
      </c>
      <c r="B285" s="4">
        <v>3.38728571428571</v>
      </c>
      <c r="C285" s="4">
        <v>3.3889999999999998</v>
      </c>
      <c r="D285" s="4">
        <v>3.387</v>
      </c>
      <c r="E285" s="4">
        <v>3.39</v>
      </c>
    </row>
    <row r="286" spans="1:5" x14ac:dyDescent="0.3">
      <c r="A286" s="3" t="s">
        <v>433</v>
      </c>
      <c r="B286" s="4">
        <v>3.3798571428571398</v>
      </c>
      <c r="C286" s="4">
        <v>3.38185714285714</v>
      </c>
      <c r="D286" s="4">
        <v>3.3809999999999998</v>
      </c>
      <c r="E286" s="4">
        <v>3.383</v>
      </c>
    </row>
    <row r="287" spans="1:5" x14ac:dyDescent="0.3">
      <c r="A287" s="3" t="s">
        <v>434</v>
      </c>
      <c r="B287" s="4">
        <v>3.3834285714285701</v>
      </c>
      <c r="C287" s="4">
        <v>3.3845714285714301</v>
      </c>
      <c r="D287" s="4">
        <v>3.383</v>
      </c>
      <c r="E287" s="4">
        <v>3.3849999999999998</v>
      </c>
    </row>
    <row r="288" spans="1:5" x14ac:dyDescent="0.3">
      <c r="A288" s="3" t="s">
        <v>435</v>
      </c>
      <c r="B288" s="4">
        <v>3.38014285714286</v>
      </c>
      <c r="C288" s="4">
        <v>3.3824285714285698</v>
      </c>
      <c r="D288" s="4">
        <v>3.38</v>
      </c>
      <c r="E288" s="4">
        <v>3.3839999999999999</v>
      </c>
    </row>
    <row r="289" spans="1:5" x14ac:dyDescent="0.3">
      <c r="A289" s="3" t="s">
        <v>436</v>
      </c>
      <c r="B289" s="4">
        <v>3.3814285714285699</v>
      </c>
      <c r="C289" s="4">
        <v>3.38271428571429</v>
      </c>
      <c r="D289" s="4">
        <v>3.38</v>
      </c>
      <c r="E289" s="4">
        <v>3.3839999999999999</v>
      </c>
    </row>
    <row r="290" spans="1:5" x14ac:dyDescent="0.3">
      <c r="A290" s="3" t="s">
        <v>437</v>
      </c>
      <c r="B290" s="4">
        <v>3.3839999999999999</v>
      </c>
      <c r="C290" s="4">
        <v>3.3852857142857098</v>
      </c>
      <c r="D290" s="4">
        <v>3.383</v>
      </c>
      <c r="E290" s="4">
        <v>3.3860000000000001</v>
      </c>
    </row>
    <row r="291" spans="1:5" x14ac:dyDescent="0.3">
      <c r="A291" s="3" t="s">
        <v>438</v>
      </c>
      <c r="B291" s="4">
        <v>3.3824285714285698</v>
      </c>
      <c r="C291" s="4">
        <v>3.3838571428571398</v>
      </c>
      <c r="D291" s="4">
        <v>3.3820000000000001</v>
      </c>
      <c r="E291" s="4">
        <v>3.3839999999999999</v>
      </c>
    </row>
    <row r="292" spans="1:5" x14ac:dyDescent="0.3">
      <c r="A292" s="3" t="s">
        <v>439</v>
      </c>
      <c r="B292" s="4">
        <v>3.3904285714285698</v>
      </c>
      <c r="C292" s="4">
        <v>3.3915714285714298</v>
      </c>
      <c r="D292" s="4">
        <v>3.3889999999999998</v>
      </c>
      <c r="E292" s="4">
        <v>3.3919999999999999</v>
      </c>
    </row>
    <row r="293" spans="1:5" x14ac:dyDescent="0.3">
      <c r="A293" s="3" t="s">
        <v>440</v>
      </c>
      <c r="B293" s="4">
        <v>3.391</v>
      </c>
      <c r="C293" s="4">
        <v>3.3927142857142898</v>
      </c>
      <c r="D293" s="4">
        <v>3.391</v>
      </c>
      <c r="E293" s="4">
        <v>3.3940000000000001</v>
      </c>
    </row>
    <row r="294" spans="1:5" x14ac:dyDescent="0.3">
      <c r="A294" s="3" t="s">
        <v>441</v>
      </c>
      <c r="B294" s="4">
        <v>3.4031428571428601</v>
      </c>
      <c r="C294" s="4">
        <v>3.4045714285714301</v>
      </c>
      <c r="D294" s="4">
        <v>3.4009999999999998</v>
      </c>
      <c r="E294" s="4">
        <v>3.4039999999999999</v>
      </c>
    </row>
    <row r="295" spans="1:5" x14ac:dyDescent="0.3">
      <c r="A295" s="3" t="s">
        <v>442</v>
      </c>
      <c r="B295" s="4">
        <v>3.4054285714285699</v>
      </c>
      <c r="C295" s="4">
        <v>3.40671428571429</v>
      </c>
      <c r="D295" s="4">
        <v>3.4020000000000001</v>
      </c>
      <c r="E295" s="4">
        <v>3.4049999999999998</v>
      </c>
    </row>
    <row r="296" spans="1:5" x14ac:dyDescent="0.3">
      <c r="A296" s="3" t="s">
        <v>443</v>
      </c>
      <c r="B296" s="4">
        <v>3.41128571428571</v>
      </c>
      <c r="C296" s="4">
        <v>3.4127142857142898</v>
      </c>
      <c r="D296" s="4">
        <v>3.4089999999999998</v>
      </c>
      <c r="E296" s="4">
        <v>3.4119999999999999</v>
      </c>
    </row>
    <row r="297" spans="1:5" x14ac:dyDescent="0.3">
      <c r="A297" s="3" t="s">
        <v>444</v>
      </c>
      <c r="B297" s="4">
        <v>3.4292857142857098</v>
      </c>
      <c r="C297" s="4">
        <v>3.4311428571428602</v>
      </c>
      <c r="D297" s="4">
        <v>3.4260000000000002</v>
      </c>
      <c r="E297" s="4">
        <v>3.43</v>
      </c>
    </row>
    <row r="298" spans="1:5" x14ac:dyDescent="0.3">
      <c r="A298" s="3" t="s">
        <v>445</v>
      </c>
      <c r="B298" s="4">
        <v>3.4527142857142898</v>
      </c>
      <c r="C298" s="4">
        <v>3.456</v>
      </c>
      <c r="D298" s="4">
        <v>3.448</v>
      </c>
      <c r="E298" s="4">
        <v>3.4510000000000001</v>
      </c>
    </row>
    <row r="299" spans="1:5" x14ac:dyDescent="0.3">
      <c r="A299" s="3" t="s">
        <v>446</v>
      </c>
      <c r="B299" s="4">
        <v>3.44285714285714</v>
      </c>
      <c r="C299" s="4">
        <v>3.4449999999999998</v>
      </c>
      <c r="D299" s="4">
        <v>3.4409999999999998</v>
      </c>
      <c r="E299" s="4">
        <v>3.4449999999999998</v>
      </c>
    </row>
    <row r="300" spans="1:5" x14ac:dyDescent="0.3">
      <c r="A300" s="3" t="s">
        <v>447</v>
      </c>
      <c r="B300" s="4">
        <v>3.4285714285714302</v>
      </c>
      <c r="C300" s="4">
        <v>3.43</v>
      </c>
      <c r="D300" s="4">
        <v>3.4249999999999998</v>
      </c>
      <c r="E300" s="4">
        <v>3.4279999999999999</v>
      </c>
    </row>
    <row r="301" spans="1:5" x14ac:dyDescent="0.3">
      <c r="A301" s="3" t="s">
        <v>448</v>
      </c>
      <c r="B301" s="4">
        <v>3.4209999999999998</v>
      </c>
      <c r="C301" s="4">
        <v>3.4225714285714299</v>
      </c>
      <c r="D301" s="4">
        <v>3.42</v>
      </c>
      <c r="E301" s="4">
        <v>3.4249999999999998</v>
      </c>
    </row>
    <row r="302" spans="1:5" x14ac:dyDescent="0.3">
      <c r="A302" s="3" t="s">
        <v>449</v>
      </c>
      <c r="B302" s="4">
        <v>3.4441428571428601</v>
      </c>
      <c r="C302" s="4">
        <v>3.4467142857142901</v>
      </c>
      <c r="D302" s="4">
        <v>3.4380000000000002</v>
      </c>
      <c r="E302" s="4">
        <v>3.44</v>
      </c>
    </row>
    <row r="303" spans="1:5" x14ac:dyDescent="0.3">
      <c r="A303" s="3" t="s">
        <v>450</v>
      </c>
      <c r="B303" s="4">
        <v>3.4738571428571401</v>
      </c>
      <c r="C303" s="4">
        <v>3.4768571428571402</v>
      </c>
      <c r="D303" s="4">
        <v>3.47</v>
      </c>
      <c r="E303" s="4">
        <v>3.4729999999999999</v>
      </c>
    </row>
    <row r="304" spans="1:5" x14ac:dyDescent="0.3">
      <c r="A304" s="3" t="s">
        <v>451</v>
      </c>
      <c r="B304" s="4">
        <v>3.5032857142857101</v>
      </c>
      <c r="C304" s="4">
        <v>3.5057142857142898</v>
      </c>
      <c r="D304" s="4">
        <v>3.4990000000000001</v>
      </c>
      <c r="E304" s="4">
        <v>3.5019999999999998</v>
      </c>
    </row>
    <row r="305" spans="1:5" x14ac:dyDescent="0.3">
      <c r="A305" s="3" t="s">
        <v>452</v>
      </c>
      <c r="B305" s="4">
        <v>3.49628571428571</v>
      </c>
      <c r="C305" s="4">
        <v>3.4980000000000002</v>
      </c>
      <c r="D305" s="4">
        <v>3.4940000000000002</v>
      </c>
      <c r="E305" s="4">
        <v>3.4980000000000002</v>
      </c>
    </row>
    <row r="306" spans="1:5" x14ac:dyDescent="0.3">
      <c r="A306" s="3" t="s">
        <v>453</v>
      </c>
      <c r="B306" s="4">
        <v>3.5097142857142898</v>
      </c>
      <c r="C306" s="4">
        <v>3.5112857142857101</v>
      </c>
      <c r="D306" s="4">
        <v>3.5070000000000001</v>
      </c>
      <c r="E306" s="4">
        <v>3.51</v>
      </c>
    </row>
    <row r="307" spans="1:5" x14ac:dyDescent="0.3">
      <c r="A307" s="3" t="s">
        <v>454</v>
      </c>
      <c r="B307" s="4">
        <v>3.5448571428571398</v>
      </c>
      <c r="C307" s="4">
        <v>3.54771428571429</v>
      </c>
      <c r="D307" s="4">
        <v>3.5430000000000001</v>
      </c>
      <c r="E307" s="4">
        <v>3.5449999999999999</v>
      </c>
    </row>
    <row r="308" spans="1:5" x14ac:dyDescent="0.3">
      <c r="A308" s="3" t="s">
        <v>455</v>
      </c>
      <c r="B308" s="4">
        <v>3.5261428571428599</v>
      </c>
      <c r="C308" s="4">
        <v>3.5295714285714301</v>
      </c>
      <c r="D308" s="4">
        <v>3.5259999999999998</v>
      </c>
      <c r="E308" s="4">
        <v>3.53</v>
      </c>
    </row>
    <row r="309" spans="1:5" x14ac:dyDescent="0.3">
      <c r="A309" s="3" t="s">
        <v>456</v>
      </c>
      <c r="B309" s="4">
        <v>3.55314285714286</v>
      </c>
      <c r="C309" s="4">
        <v>3.5564285714285702</v>
      </c>
      <c r="D309" s="4">
        <v>3.544</v>
      </c>
      <c r="E309" s="4">
        <v>3.55</v>
      </c>
    </row>
    <row r="310" spans="1:5" x14ac:dyDescent="0.3">
      <c r="A310" s="3" t="s">
        <v>457</v>
      </c>
      <c r="B310" s="4">
        <v>3.5485714285714298</v>
      </c>
      <c r="C310" s="4">
        <v>3.5514285714285698</v>
      </c>
      <c r="D310" s="4">
        <v>3.5489999999999999</v>
      </c>
      <c r="E310" s="4">
        <v>3.5539999999999998</v>
      </c>
    </row>
    <row r="311" spans="1:5" x14ac:dyDescent="0.3">
      <c r="A311" s="3" t="s">
        <v>458</v>
      </c>
      <c r="B311" s="4">
        <v>3.57066666666667</v>
      </c>
      <c r="C311" s="4">
        <v>3.5731666666666699</v>
      </c>
      <c r="D311" s="4">
        <v>3.5649999999999999</v>
      </c>
      <c r="E311" s="4">
        <v>3.5680000000000001</v>
      </c>
    </row>
    <row r="312" spans="1:5" x14ac:dyDescent="0.3">
      <c r="A312" s="3" t="s">
        <v>459</v>
      </c>
      <c r="B312" s="4">
        <v>3.5603333333333298</v>
      </c>
      <c r="C312" s="4">
        <v>3.5634999999999999</v>
      </c>
      <c r="D312" s="4">
        <v>3.5630000000000002</v>
      </c>
      <c r="E312" s="4">
        <v>3.5649999999999999</v>
      </c>
    </row>
    <row r="313" spans="1:5" x14ac:dyDescent="0.3">
      <c r="A313" s="3" t="s">
        <v>460</v>
      </c>
      <c r="B313" s="4">
        <v>3.5226666666666699</v>
      </c>
      <c r="C313" s="4">
        <v>3.5288333333333299</v>
      </c>
      <c r="D313" s="4">
        <v>3.52</v>
      </c>
      <c r="E313" s="4">
        <v>3.5249999999999999</v>
      </c>
    </row>
    <row r="314" spans="1:5" x14ac:dyDescent="0.3">
      <c r="A314" s="3" t="s">
        <v>461</v>
      </c>
      <c r="B314" s="4">
        <v>3.5326666666666702</v>
      </c>
      <c r="C314" s="4">
        <v>3.5396666666666698</v>
      </c>
      <c r="D314" s="4">
        <v>3.53</v>
      </c>
      <c r="E314" s="4">
        <v>3.536</v>
      </c>
    </row>
    <row r="315" spans="1:5" x14ac:dyDescent="0.3">
      <c r="A315" s="3" t="s">
        <v>462</v>
      </c>
      <c r="B315" s="4">
        <v>3.5181666666666702</v>
      </c>
      <c r="C315" s="4">
        <v>3.5216666666666701</v>
      </c>
      <c r="D315" s="4">
        <v>3.5169999999999999</v>
      </c>
      <c r="E315" s="4">
        <v>3.5230000000000001</v>
      </c>
    </row>
    <row r="316" spans="1:5" x14ac:dyDescent="0.3">
      <c r="A316" s="3" t="s">
        <v>463</v>
      </c>
      <c r="B316" s="4">
        <v>3.4888333333333299</v>
      </c>
      <c r="C316" s="4">
        <v>3.4938333333333298</v>
      </c>
      <c r="D316" s="4">
        <v>3.496</v>
      </c>
      <c r="E316" s="4">
        <v>3.5030000000000001</v>
      </c>
    </row>
    <row r="317" spans="1:5" x14ac:dyDescent="0.3">
      <c r="A317" s="3" t="s">
        <v>464</v>
      </c>
      <c r="B317" s="4">
        <v>3.4156666666666702</v>
      </c>
      <c r="C317" s="4">
        <v>3.4261666666666701</v>
      </c>
      <c r="D317" s="4">
        <v>3.4289999999999998</v>
      </c>
      <c r="E317" s="4">
        <v>3.4390000000000001</v>
      </c>
    </row>
    <row r="318" spans="1:5" x14ac:dyDescent="0.3">
      <c r="A318" s="3" t="s">
        <v>465</v>
      </c>
      <c r="B318" s="4">
        <v>3.41733333333333</v>
      </c>
      <c r="C318" s="4">
        <v>3.4255</v>
      </c>
      <c r="D318" s="4">
        <v>3.4169999999999998</v>
      </c>
      <c r="E318" s="4">
        <v>3.423</v>
      </c>
    </row>
    <row r="319" spans="1:5" x14ac:dyDescent="0.3">
      <c r="A319" s="3" t="s">
        <v>466</v>
      </c>
      <c r="B319" s="4">
        <v>3.4355000000000002</v>
      </c>
      <c r="C319" s="4">
        <v>3.44133333333333</v>
      </c>
      <c r="D319" s="4">
        <v>3.431</v>
      </c>
      <c r="E319" s="4">
        <v>3.4390000000000001</v>
      </c>
    </row>
    <row r="320" spans="1:5" x14ac:dyDescent="0.3">
      <c r="A320" s="3" t="s">
        <v>467</v>
      </c>
      <c r="B320" s="4">
        <v>3.4346666666666699</v>
      </c>
      <c r="C320" s="4">
        <v>3.4401666666666699</v>
      </c>
      <c r="D320" s="4">
        <v>3.4329999999999998</v>
      </c>
      <c r="E320" s="4">
        <v>3.4420000000000002</v>
      </c>
    </row>
    <row r="321" spans="1:5" x14ac:dyDescent="0.3">
      <c r="A321" s="3" t="s">
        <v>468</v>
      </c>
      <c r="B321" s="4">
        <v>3.4606666666666701</v>
      </c>
      <c r="C321" s="4">
        <v>3.4673333333333298</v>
      </c>
      <c r="D321" s="4">
        <v>3.4550000000000001</v>
      </c>
      <c r="E321" s="4">
        <v>3.4620000000000002</v>
      </c>
    </row>
    <row r="322" spans="1:5" x14ac:dyDescent="0.3">
      <c r="A322" s="3" t="s">
        <v>469</v>
      </c>
      <c r="B322" s="4">
        <v>3.4486666666666701</v>
      </c>
      <c r="C322" s="4">
        <v>3.4556666666666702</v>
      </c>
      <c r="D322" s="4">
        <v>3.4529999999999998</v>
      </c>
      <c r="E322" s="4">
        <v>3.4580000000000002</v>
      </c>
    </row>
    <row r="323" spans="1:5" x14ac:dyDescent="0.3">
      <c r="A323" s="3" t="s">
        <v>470</v>
      </c>
      <c r="B323" s="4">
        <v>3.4553333333333298</v>
      </c>
      <c r="C323" s="4">
        <v>3.4584999999999999</v>
      </c>
      <c r="D323" s="4">
        <v>3.4529999999999998</v>
      </c>
      <c r="E323" s="4">
        <v>3.4569999999999999</v>
      </c>
    </row>
    <row r="324" spans="1:5" x14ac:dyDescent="0.3">
      <c r="A324" s="3" t="s">
        <v>471</v>
      </c>
      <c r="B324" s="4">
        <v>3.4038333333333299</v>
      </c>
      <c r="C324" s="4">
        <v>3.4128333333333298</v>
      </c>
      <c r="D324" s="4">
        <v>3.4060000000000001</v>
      </c>
      <c r="E324" s="4">
        <v>3.4119999999999999</v>
      </c>
    </row>
    <row r="325" spans="1:5" x14ac:dyDescent="0.3">
      <c r="A325" s="3" t="s">
        <v>472</v>
      </c>
      <c r="B325" s="4">
        <v>3.3660000000000001</v>
      </c>
      <c r="C325" s="4">
        <v>3.3728333333333298</v>
      </c>
      <c r="D325" s="4">
        <v>3.367</v>
      </c>
      <c r="E325" s="4">
        <v>3.3730000000000002</v>
      </c>
    </row>
    <row r="326" spans="1:5" x14ac:dyDescent="0.3">
      <c r="A326" s="3" t="s">
        <v>473</v>
      </c>
      <c r="B326" s="4">
        <v>3.3515000000000001</v>
      </c>
      <c r="C326" s="4">
        <v>3.3573333333333299</v>
      </c>
      <c r="D326" s="4">
        <v>3.3540000000000001</v>
      </c>
      <c r="E326" s="4">
        <v>3.3559999999999999</v>
      </c>
    </row>
    <row r="327" spans="1:5" x14ac:dyDescent="0.3">
      <c r="A327" s="3" t="s">
        <v>474</v>
      </c>
      <c r="B327" s="4">
        <v>3.3780000000000001</v>
      </c>
      <c r="C327" s="4">
        <v>3.3818333333333301</v>
      </c>
      <c r="D327" s="4">
        <v>3.3740000000000001</v>
      </c>
      <c r="E327" s="4">
        <v>3.379</v>
      </c>
    </row>
    <row r="328" spans="1:5" x14ac:dyDescent="0.3">
      <c r="A328" s="3" t="s">
        <v>475</v>
      </c>
      <c r="B328" s="4">
        <v>3.39</v>
      </c>
      <c r="C328" s="4">
        <v>3.3953333333333302</v>
      </c>
      <c r="D328" s="4">
        <v>3.3879999999999999</v>
      </c>
      <c r="E328" s="4">
        <v>3.3929999999999998</v>
      </c>
    </row>
    <row r="329" spans="1:5" x14ac:dyDescent="0.3">
      <c r="A329" s="3" t="s">
        <v>476</v>
      </c>
      <c r="B329" s="4">
        <v>3.4156666666666702</v>
      </c>
      <c r="C329" s="4">
        <v>3.4193333333333298</v>
      </c>
      <c r="D329" s="4">
        <v>3.4169999999999998</v>
      </c>
      <c r="E329" s="4">
        <v>3.4209999999999998</v>
      </c>
    </row>
    <row r="330" spans="1:5" x14ac:dyDescent="0.3">
      <c r="A330" s="3" t="s">
        <v>477</v>
      </c>
      <c r="B330" s="4">
        <v>3.4098333333333302</v>
      </c>
      <c r="C330" s="4">
        <v>3.4129999999999998</v>
      </c>
      <c r="D330" s="4">
        <v>3.407</v>
      </c>
      <c r="E330" s="4">
        <v>3.411</v>
      </c>
    </row>
    <row r="331" spans="1:5" x14ac:dyDescent="0.3">
      <c r="A331" s="3" t="s">
        <v>478</v>
      </c>
      <c r="B331" s="4">
        <v>3.40283333333333</v>
      </c>
      <c r="C331" s="4">
        <v>3.4064999999999999</v>
      </c>
      <c r="D331" s="4">
        <v>3.403</v>
      </c>
      <c r="E331" s="4">
        <v>3.407</v>
      </c>
    </row>
    <row r="332" spans="1:5" x14ac:dyDescent="0.3">
      <c r="A332" s="3" t="s">
        <v>479</v>
      </c>
      <c r="B332" s="4">
        <v>3.4075000000000002</v>
      </c>
      <c r="C332" s="4">
        <v>3.4098333333333302</v>
      </c>
      <c r="D332" s="4">
        <v>3.4049999999999998</v>
      </c>
      <c r="E332" s="4">
        <v>3.41</v>
      </c>
    </row>
    <row r="333" spans="1:5" x14ac:dyDescent="0.3">
      <c r="A333" s="3" t="s">
        <v>480</v>
      </c>
      <c r="B333" s="4">
        <v>3.3881666666666699</v>
      </c>
      <c r="C333" s="4">
        <v>3.3959999999999999</v>
      </c>
      <c r="D333" s="4">
        <v>3.3969999999999998</v>
      </c>
      <c r="E333" s="4">
        <v>3.4</v>
      </c>
    </row>
    <row r="334" spans="1:5" x14ac:dyDescent="0.3">
      <c r="A334" s="3" t="s">
        <v>481</v>
      </c>
      <c r="B334" s="4">
        <v>3.3725000000000001</v>
      </c>
      <c r="C334" s="4">
        <v>3.3759999999999999</v>
      </c>
      <c r="D334" s="4">
        <v>3.37</v>
      </c>
      <c r="E334" s="4">
        <v>3.3759999999999999</v>
      </c>
    </row>
    <row r="335" spans="1:5" x14ac:dyDescent="0.3">
      <c r="A335" s="3" t="s">
        <v>482</v>
      </c>
      <c r="B335" s="4">
        <v>3.3639999999999999</v>
      </c>
      <c r="C335" s="4">
        <v>3.3696666666666699</v>
      </c>
      <c r="D335" s="4">
        <v>3.3580000000000001</v>
      </c>
      <c r="E335" s="4">
        <v>3.3639999999999999</v>
      </c>
    </row>
    <row r="336" spans="1:5" x14ac:dyDescent="0.3">
      <c r="A336" s="3" t="s">
        <v>483</v>
      </c>
      <c r="B336" s="4">
        <v>3.3798333333333299</v>
      </c>
      <c r="C336" s="4">
        <v>3.3863333333333299</v>
      </c>
      <c r="D336" s="4">
        <v>3.371</v>
      </c>
      <c r="E336" s="4">
        <v>3.3809999999999998</v>
      </c>
    </row>
    <row r="337" spans="1:5" x14ac:dyDescent="0.3">
      <c r="A337" s="3" t="s">
        <v>484</v>
      </c>
      <c r="B337" s="4">
        <v>3.3968333333333298</v>
      </c>
      <c r="C337" s="4">
        <v>3.4015</v>
      </c>
      <c r="D337" s="4">
        <v>3.391</v>
      </c>
      <c r="E337" s="4">
        <v>3.4</v>
      </c>
    </row>
    <row r="338" spans="1:5" x14ac:dyDescent="0.3">
      <c r="A338" s="3" t="s">
        <v>485</v>
      </c>
      <c r="B338" s="4">
        <v>3.383</v>
      </c>
      <c r="C338" s="4">
        <v>3.3863333333333299</v>
      </c>
      <c r="D338" s="4">
        <v>3.3820000000000001</v>
      </c>
      <c r="E338" s="4">
        <v>3.387</v>
      </c>
    </row>
    <row r="339" spans="1:5" x14ac:dyDescent="0.3">
      <c r="A339" s="3" t="s">
        <v>486</v>
      </c>
      <c r="B339" s="4">
        <v>3.36933333333333</v>
      </c>
      <c r="C339" s="4">
        <v>3.3716666666666701</v>
      </c>
      <c r="D339" s="4">
        <v>3.3690000000000002</v>
      </c>
      <c r="E339" s="4">
        <v>3.3730000000000002</v>
      </c>
    </row>
    <row r="340" spans="1:5" x14ac:dyDescent="0.3">
      <c r="A340" s="3" t="s">
        <v>487</v>
      </c>
      <c r="B340" s="4">
        <v>3.3776666666666699</v>
      </c>
      <c r="C340" s="4">
        <v>3.3811666666666702</v>
      </c>
      <c r="D340" s="4">
        <v>3.3759999999999999</v>
      </c>
      <c r="E340" s="4">
        <v>3.383</v>
      </c>
    </row>
    <row r="341" spans="1:5" x14ac:dyDescent="0.3">
      <c r="A341" s="3" t="s">
        <v>488</v>
      </c>
      <c r="B341" s="4">
        <v>3.3873333333333302</v>
      </c>
      <c r="C341" s="4">
        <v>3.39</v>
      </c>
      <c r="D341" s="4">
        <v>3.383</v>
      </c>
      <c r="E341" s="4">
        <v>3.39</v>
      </c>
    </row>
    <row r="342" spans="1:5" x14ac:dyDescent="0.3">
      <c r="A342" s="3" t="s">
        <v>489</v>
      </c>
      <c r="B342" s="4">
        <v>3.3891666666666702</v>
      </c>
      <c r="C342" s="4">
        <v>3.3921666666666699</v>
      </c>
      <c r="D342" s="4">
        <v>3.3879999999999999</v>
      </c>
      <c r="E342" s="4">
        <v>3.3940000000000001</v>
      </c>
    </row>
    <row r="343" spans="1:5" x14ac:dyDescent="0.3">
      <c r="A343" s="3" t="s">
        <v>490</v>
      </c>
      <c r="B343" s="4">
        <v>3.4064999999999999</v>
      </c>
      <c r="C343" s="4">
        <v>3.4091666666666698</v>
      </c>
      <c r="D343" s="4">
        <v>3.403</v>
      </c>
      <c r="E343" s="4">
        <v>3.407</v>
      </c>
    </row>
    <row r="344" spans="1:5" x14ac:dyDescent="0.3">
      <c r="A344" s="3" t="s">
        <v>491</v>
      </c>
      <c r="B344" s="4">
        <v>3.4043333333333301</v>
      </c>
      <c r="C344" s="4">
        <v>3.4061666666666701</v>
      </c>
      <c r="D344" s="4">
        <v>3.4039999999999999</v>
      </c>
      <c r="E344" s="4">
        <v>3.41</v>
      </c>
    </row>
    <row r="345" spans="1:5" x14ac:dyDescent="0.3">
      <c r="A345" s="3" t="s">
        <v>492</v>
      </c>
      <c r="B345" s="4">
        <v>3.3963333333333301</v>
      </c>
      <c r="C345" s="4">
        <v>3.3981666666666701</v>
      </c>
      <c r="D345" s="4">
        <v>3.3940000000000001</v>
      </c>
      <c r="E345" s="4">
        <v>3.399</v>
      </c>
    </row>
    <row r="346" spans="1:5" x14ac:dyDescent="0.3">
      <c r="A346" s="3" t="s">
        <v>493</v>
      </c>
      <c r="B346" s="4">
        <v>3.4180000000000001</v>
      </c>
      <c r="C346" s="4">
        <v>3.42133333333333</v>
      </c>
      <c r="D346" s="4">
        <v>3.4180000000000001</v>
      </c>
      <c r="E346" s="4">
        <v>3.4209999999999998</v>
      </c>
    </row>
    <row r="347" spans="1:5" x14ac:dyDescent="0.3">
      <c r="A347" s="3" t="s">
        <v>494</v>
      </c>
      <c r="B347" s="4">
        <v>3.42316666666667</v>
      </c>
      <c r="C347" s="4">
        <v>3.4264999999999999</v>
      </c>
      <c r="D347" s="4">
        <v>3.4209999999999998</v>
      </c>
      <c r="E347" s="4">
        <v>3.4249999999999998</v>
      </c>
    </row>
    <row r="348" spans="1:5" x14ac:dyDescent="0.3">
      <c r="A348" s="3" t="s">
        <v>495</v>
      </c>
      <c r="B348" s="4">
        <v>3.43733333333333</v>
      </c>
      <c r="C348" s="4">
        <v>3.43983333333333</v>
      </c>
      <c r="D348" s="4">
        <v>3.4340000000000002</v>
      </c>
      <c r="E348" s="4">
        <v>3.4369999999999998</v>
      </c>
    </row>
    <row r="349" spans="1:5" x14ac:dyDescent="0.3">
      <c r="A349" s="3" t="s">
        <v>496</v>
      </c>
      <c r="B349" s="4">
        <v>3.4523333333333301</v>
      </c>
      <c r="C349" s="4">
        <v>3.4546666666666699</v>
      </c>
      <c r="D349" s="4">
        <v>3.45</v>
      </c>
      <c r="E349" s="4">
        <v>3.4550000000000001</v>
      </c>
    </row>
    <row r="350" spans="1:5" x14ac:dyDescent="0.3">
      <c r="A350" s="3" t="s">
        <v>497</v>
      </c>
      <c r="B350" s="4">
        <v>3.4418333333333302</v>
      </c>
      <c r="C350" s="4">
        <v>3.4441666666666699</v>
      </c>
      <c r="D350" s="4">
        <v>3.444</v>
      </c>
      <c r="E350" s="4">
        <v>3.448</v>
      </c>
    </row>
    <row r="351" spans="1:5" x14ac:dyDescent="0.3">
      <c r="A351" s="3" t="s">
        <v>498</v>
      </c>
      <c r="B351" s="4">
        <v>3.41916666666667</v>
      </c>
      <c r="C351" s="4">
        <v>3.42133333333333</v>
      </c>
      <c r="D351" s="4">
        <v>3.419</v>
      </c>
      <c r="E351" s="4">
        <v>3.4239999999999999</v>
      </c>
    </row>
    <row r="352" spans="1:5" x14ac:dyDescent="0.3">
      <c r="A352" s="3" t="s">
        <v>499</v>
      </c>
      <c r="B352" s="4">
        <v>3.42783333333333</v>
      </c>
      <c r="C352" s="4">
        <v>3.4301666666666701</v>
      </c>
      <c r="D352" s="4">
        <v>3.4249999999999998</v>
      </c>
      <c r="E352" s="4">
        <v>3.43</v>
      </c>
    </row>
    <row r="353" spans="1:5" x14ac:dyDescent="0.3">
      <c r="A353" s="3" t="s">
        <v>500</v>
      </c>
      <c r="B353" s="4">
        <v>3.4033333333333302</v>
      </c>
      <c r="C353" s="4">
        <v>3.40533333333333</v>
      </c>
      <c r="D353" s="4">
        <v>3.4039999999999999</v>
      </c>
      <c r="E353" s="4">
        <v>3.41</v>
      </c>
    </row>
    <row r="354" spans="1:5" x14ac:dyDescent="0.3">
      <c r="A354" s="3" t="s">
        <v>501</v>
      </c>
      <c r="B354" s="4">
        <v>3.4041666666666699</v>
      </c>
      <c r="C354" s="4">
        <v>3.4060000000000001</v>
      </c>
      <c r="D354" s="4">
        <v>3.4020000000000001</v>
      </c>
      <c r="E354" s="4">
        <v>3.4060000000000001</v>
      </c>
    </row>
    <row r="355" spans="1:5" x14ac:dyDescent="0.3">
      <c r="A355" s="3" t="s">
        <v>502</v>
      </c>
      <c r="B355" s="4">
        <v>3.4248333333333298</v>
      </c>
      <c r="C355" s="4">
        <v>3.4288333333333298</v>
      </c>
      <c r="D355" s="4">
        <v>3.4239999999999999</v>
      </c>
      <c r="E355" s="4">
        <v>3.4289999999999998</v>
      </c>
    </row>
    <row r="356" spans="1:5" x14ac:dyDescent="0.3">
      <c r="A356" s="3" t="s">
        <v>503</v>
      </c>
      <c r="B356" s="4">
        <v>3.4245000000000001</v>
      </c>
      <c r="C356" s="4">
        <v>3.4275000000000002</v>
      </c>
      <c r="D356" s="4">
        <v>3.4249999999999998</v>
      </c>
      <c r="E356" s="4">
        <v>3.4289999999999998</v>
      </c>
    </row>
    <row r="357" spans="1:5" x14ac:dyDescent="0.3">
      <c r="A357" s="3" t="s">
        <v>504</v>
      </c>
      <c r="B357" s="4">
        <v>3.4224999999999999</v>
      </c>
      <c r="C357" s="4">
        <v>3.4263333333333299</v>
      </c>
      <c r="D357" s="4">
        <v>3.4209999999999998</v>
      </c>
      <c r="E357" s="4">
        <v>3.4260000000000002</v>
      </c>
    </row>
    <row r="358" spans="1:5" x14ac:dyDescent="0.3">
      <c r="A358" s="3" t="s">
        <v>505</v>
      </c>
      <c r="B358" s="4">
        <v>3.4513333333333298</v>
      </c>
      <c r="C358" s="4">
        <v>3.4529999999999998</v>
      </c>
      <c r="D358" s="4">
        <v>3.448</v>
      </c>
      <c r="E358" s="4">
        <v>3.4529999999999998</v>
      </c>
    </row>
    <row r="359" spans="1:5" x14ac:dyDescent="0.3">
      <c r="A359" s="3" t="s">
        <v>506</v>
      </c>
      <c r="B359" s="4">
        <v>3.43916666666667</v>
      </c>
      <c r="C359" s="4">
        <v>3.4415</v>
      </c>
      <c r="D359" s="4">
        <v>3.4390000000000001</v>
      </c>
      <c r="E359" s="4">
        <v>3.444</v>
      </c>
    </row>
    <row r="360" spans="1:5" x14ac:dyDescent="0.3">
      <c r="A360" s="3" t="s">
        <v>507</v>
      </c>
      <c r="B360" s="4">
        <v>3.42933333333333</v>
      </c>
      <c r="C360" s="4">
        <v>3.4323333333333301</v>
      </c>
      <c r="D360" s="4">
        <v>3.4289999999999998</v>
      </c>
      <c r="E360" s="4">
        <v>3.4340000000000002</v>
      </c>
    </row>
    <row r="361" spans="1:5" x14ac:dyDescent="0.3">
      <c r="A361" s="3" t="s">
        <v>508</v>
      </c>
      <c r="B361" s="4">
        <v>3.4165000000000001</v>
      </c>
      <c r="C361" s="4">
        <v>3.4195000000000002</v>
      </c>
      <c r="D361" s="4">
        <v>3.41</v>
      </c>
      <c r="E361" s="4">
        <v>3.4220000000000002</v>
      </c>
    </row>
    <row r="362" spans="1:5" x14ac:dyDescent="0.3">
      <c r="A362" s="3" t="s">
        <v>509</v>
      </c>
      <c r="B362" s="4">
        <v>3.3998333333333299</v>
      </c>
      <c r="C362" s="4">
        <v>3.40133333333333</v>
      </c>
      <c r="D362" s="4">
        <v>3.4020000000000001</v>
      </c>
      <c r="E362" s="4">
        <v>3.4039999999999999</v>
      </c>
    </row>
    <row r="363" spans="1:5" x14ac:dyDescent="0.3">
      <c r="A363" s="3" t="s">
        <v>510</v>
      </c>
      <c r="B363" s="4">
        <v>3.3898333333333301</v>
      </c>
      <c r="C363" s="4">
        <v>3.3919999999999999</v>
      </c>
      <c r="D363" s="4">
        <v>3.3889999999999998</v>
      </c>
      <c r="E363" s="4">
        <v>3.391</v>
      </c>
    </row>
    <row r="364" spans="1:5" x14ac:dyDescent="0.3">
      <c r="A364" s="3" t="s">
        <v>511</v>
      </c>
      <c r="B364" s="4">
        <v>3.42566666666667</v>
      </c>
      <c r="C364" s="4">
        <v>3.4279999999999999</v>
      </c>
      <c r="D364" s="4">
        <v>3.4209999999999998</v>
      </c>
      <c r="E364" s="4">
        <v>3.4220000000000002</v>
      </c>
    </row>
    <row r="365" spans="1:5" x14ac:dyDescent="0.3">
      <c r="A365" s="3" t="s">
        <v>512</v>
      </c>
      <c r="B365" s="4">
        <v>3.4286666666666701</v>
      </c>
      <c r="C365" s="4">
        <v>3.43116666666667</v>
      </c>
      <c r="D365" s="4">
        <v>3.4260000000000002</v>
      </c>
      <c r="E365" s="4">
        <v>3.43</v>
      </c>
    </row>
    <row r="366" spans="1:5" x14ac:dyDescent="0.3">
      <c r="A366" s="3" t="s">
        <v>513</v>
      </c>
      <c r="B366" s="4">
        <v>3.4386666666666699</v>
      </c>
      <c r="C366" s="4">
        <v>3.44166666666667</v>
      </c>
      <c r="D366" s="4">
        <v>3.4380000000000002</v>
      </c>
      <c r="E366" s="4">
        <v>3.4409999999999998</v>
      </c>
    </row>
    <row r="367" spans="1:5" x14ac:dyDescent="0.3">
      <c r="A367" s="3" t="s">
        <v>514</v>
      </c>
      <c r="B367" s="4">
        <v>3.4464999999999999</v>
      </c>
      <c r="C367" s="4">
        <v>3.4481666666666699</v>
      </c>
      <c r="D367" s="4">
        <v>3.4470000000000001</v>
      </c>
      <c r="E367" s="4">
        <v>3.448</v>
      </c>
    </row>
    <row r="368" spans="1:5" x14ac:dyDescent="0.3">
      <c r="A368" s="3" t="s">
        <v>515</v>
      </c>
      <c r="B368" s="4">
        <v>3.4326666666666701</v>
      </c>
      <c r="C368" s="4">
        <v>3.43516666666667</v>
      </c>
      <c r="D368" s="4">
        <v>3.4350000000000001</v>
      </c>
      <c r="E368" s="4">
        <v>3.4369999999999998</v>
      </c>
    </row>
    <row r="369" spans="1:5" x14ac:dyDescent="0.3">
      <c r="A369" s="3" t="s">
        <v>516</v>
      </c>
      <c r="B369" s="4">
        <v>3.4553333333333298</v>
      </c>
      <c r="C369" s="4">
        <v>3.45766666666667</v>
      </c>
      <c r="D369" s="4">
        <v>3.45</v>
      </c>
      <c r="E369" s="4">
        <v>3.452</v>
      </c>
    </row>
    <row r="370" spans="1:5" x14ac:dyDescent="0.3">
      <c r="A370" s="3" t="s">
        <v>517</v>
      </c>
      <c r="B370" s="4">
        <v>3.4621666666666702</v>
      </c>
      <c r="C370" s="4">
        <v>3.4636666666666698</v>
      </c>
      <c r="D370" s="4">
        <v>3.46</v>
      </c>
      <c r="E370" s="4">
        <v>3.464</v>
      </c>
    </row>
    <row r="371" spans="1:5" x14ac:dyDescent="0.3">
      <c r="A371" s="3" t="s">
        <v>518</v>
      </c>
      <c r="B371" s="4">
        <v>3.4843333333333302</v>
      </c>
      <c r="C371" s="4">
        <v>3.4860000000000002</v>
      </c>
      <c r="D371" s="4">
        <v>3.48</v>
      </c>
      <c r="E371" s="4">
        <v>3.4849999999999999</v>
      </c>
    </row>
    <row r="372" spans="1:5" x14ac:dyDescent="0.3">
      <c r="A372" s="3" t="s">
        <v>519</v>
      </c>
      <c r="B372" s="4">
        <v>3.4735</v>
      </c>
      <c r="C372" s="4">
        <v>3.4763333333333302</v>
      </c>
      <c r="D372" s="4">
        <v>3.4729999999999999</v>
      </c>
      <c r="E372" s="4">
        <v>3.4769999999999999</v>
      </c>
    </row>
    <row r="373" spans="1:5" x14ac:dyDescent="0.3">
      <c r="A373" s="3" t="s">
        <v>520</v>
      </c>
      <c r="B373" s="4">
        <v>3.49216666666667</v>
      </c>
      <c r="C373" s="4">
        <v>3.49583333333333</v>
      </c>
      <c r="D373" s="4">
        <v>3.4910000000000001</v>
      </c>
      <c r="E373" s="4">
        <v>3.4929999999999999</v>
      </c>
    </row>
    <row r="374" spans="1:5" x14ac:dyDescent="0.3">
      <c r="A374" s="3" t="s">
        <v>521</v>
      </c>
      <c r="B374" s="4">
        <v>3.51366666666667</v>
      </c>
      <c r="C374" s="4">
        <v>3.5173333333333301</v>
      </c>
      <c r="D374" s="4">
        <v>3.5059999999999998</v>
      </c>
      <c r="E374" s="4">
        <v>3.5110000000000001</v>
      </c>
    </row>
    <row r="375" spans="1:5" x14ac:dyDescent="0.3">
      <c r="A375" s="3" t="s">
        <v>522</v>
      </c>
      <c r="B375" s="4">
        <v>3.5070000000000001</v>
      </c>
      <c r="C375" s="4">
        <v>3.5113333333333299</v>
      </c>
      <c r="D375" s="4">
        <v>3.51</v>
      </c>
      <c r="E375" s="4">
        <v>3.5129999999999999</v>
      </c>
    </row>
    <row r="376" spans="1:5" x14ac:dyDescent="0.3">
      <c r="A376" s="3" t="s">
        <v>523</v>
      </c>
      <c r="B376" s="4">
        <v>3.49433333333333</v>
      </c>
      <c r="C376" s="4">
        <v>3.4965000000000002</v>
      </c>
      <c r="D376" s="4">
        <v>3.4929999999999999</v>
      </c>
      <c r="E376" s="4">
        <v>3.496</v>
      </c>
    </row>
    <row r="377" spans="1:5" x14ac:dyDescent="0.3">
      <c r="A377" s="3" t="s">
        <v>524</v>
      </c>
      <c r="B377" s="4">
        <v>3.51616666666667</v>
      </c>
      <c r="C377" s="4">
        <v>3.5196666666666698</v>
      </c>
      <c r="D377" s="4">
        <v>3.5129999999999999</v>
      </c>
      <c r="E377" s="4">
        <v>3.5179999999999998</v>
      </c>
    </row>
    <row r="378" spans="1:5" x14ac:dyDescent="0.3">
      <c r="A378" s="3" t="s">
        <v>525</v>
      </c>
      <c r="B378" s="4">
        <v>3.52383333333333</v>
      </c>
      <c r="C378" s="4">
        <v>3.5265</v>
      </c>
      <c r="D378" s="4">
        <v>3.524</v>
      </c>
      <c r="E378" s="4">
        <v>3.5289999999999999</v>
      </c>
    </row>
    <row r="379" spans="1:5" x14ac:dyDescent="0.3">
      <c r="A379" s="3" t="s">
        <v>526</v>
      </c>
      <c r="B379" s="4">
        <v>3.5070000000000001</v>
      </c>
      <c r="C379" s="4">
        <v>3.5088333333333299</v>
      </c>
      <c r="D379" s="4">
        <v>3.5089999999999999</v>
      </c>
      <c r="E379" s="4">
        <v>3.5129999999999999</v>
      </c>
    </row>
    <row r="380" spans="1:5" x14ac:dyDescent="0.3">
      <c r="A380" s="3" t="s">
        <v>527</v>
      </c>
      <c r="B380" s="4">
        <v>3.52</v>
      </c>
      <c r="C380" s="4">
        <v>3.5236666666666698</v>
      </c>
      <c r="D380" s="4">
        <v>3.516</v>
      </c>
      <c r="E380" s="4">
        <v>3.5219999999999998</v>
      </c>
    </row>
    <row r="381" spans="1:5" x14ac:dyDescent="0.3">
      <c r="A381" s="3" t="s">
        <v>528</v>
      </c>
      <c r="B381" s="4">
        <v>3.5398333333333301</v>
      </c>
      <c r="C381" s="4">
        <v>3.5438333333333301</v>
      </c>
      <c r="D381" s="4">
        <v>3.5339999999999998</v>
      </c>
      <c r="E381" s="4">
        <v>3.5409999999999999</v>
      </c>
    </row>
    <row r="382" spans="1:5" x14ac:dyDescent="0.3">
      <c r="A382" s="3" t="s">
        <v>529</v>
      </c>
      <c r="B382" s="4">
        <v>3.5333333333333301</v>
      </c>
      <c r="C382" s="4">
        <v>3.5358333333333301</v>
      </c>
      <c r="D382" s="4">
        <v>3.5329999999999999</v>
      </c>
      <c r="E382" s="4">
        <v>3.5369999999999999</v>
      </c>
    </row>
    <row r="383" spans="1:5" x14ac:dyDescent="0.3">
      <c r="A383" s="3" t="s">
        <v>530</v>
      </c>
      <c r="B383" s="4">
        <v>3.5173333333333301</v>
      </c>
      <c r="C383" s="4">
        <v>3.5193333333333299</v>
      </c>
      <c r="D383" s="4">
        <v>3.5150000000000001</v>
      </c>
      <c r="E383" s="4">
        <v>3.5190000000000001</v>
      </c>
    </row>
    <row r="384" spans="1:5" x14ac:dyDescent="0.3">
      <c r="A384" s="3" t="s">
        <v>531</v>
      </c>
      <c r="B384" s="4">
        <v>3.5288333333333299</v>
      </c>
      <c r="C384" s="4">
        <v>3.5326666666666702</v>
      </c>
      <c r="D384" s="4">
        <v>3.5249999999999999</v>
      </c>
      <c r="E384" s="4">
        <v>3.528</v>
      </c>
    </row>
    <row r="385" spans="1:5" x14ac:dyDescent="0.3">
      <c r="A385" s="3" t="s">
        <v>532</v>
      </c>
      <c r="B385" s="4">
        <v>3.5456666666666701</v>
      </c>
      <c r="C385" s="4">
        <v>3.5478333333333301</v>
      </c>
      <c r="D385" s="4">
        <v>3.5459999999999998</v>
      </c>
      <c r="E385" s="4">
        <v>3.5489999999999999</v>
      </c>
    </row>
    <row r="386" spans="1:5" x14ac:dyDescent="0.3">
      <c r="A386" s="3" t="s">
        <v>533</v>
      </c>
      <c r="B386" s="4">
        <v>3.5433333333333299</v>
      </c>
      <c r="C386" s="4">
        <v>3.5459999999999998</v>
      </c>
      <c r="D386" s="4">
        <v>3.5419999999999998</v>
      </c>
      <c r="E386" s="4">
        <v>3.5470000000000002</v>
      </c>
    </row>
    <row r="387" spans="1:5" x14ac:dyDescent="0.3">
      <c r="A387" s="3" t="s">
        <v>534</v>
      </c>
      <c r="B387" s="4">
        <v>3.5311666666666701</v>
      </c>
      <c r="C387" s="4">
        <v>3.5333333333333301</v>
      </c>
      <c r="D387" s="4">
        <v>3.5339999999999998</v>
      </c>
      <c r="E387" s="4">
        <v>3.5369999999999999</v>
      </c>
    </row>
    <row r="388" spans="1:5" x14ac:dyDescent="0.3">
      <c r="A388" s="3" t="s">
        <v>535</v>
      </c>
      <c r="B388" s="4">
        <v>3.512</v>
      </c>
      <c r="C388" s="4">
        <v>3.5185</v>
      </c>
      <c r="D388" s="4">
        <v>3.5169999999999999</v>
      </c>
      <c r="E388" s="4">
        <v>3.524</v>
      </c>
    </row>
    <row r="389" spans="1:5" x14ac:dyDescent="0.3">
      <c r="A389" s="3" t="s">
        <v>536</v>
      </c>
      <c r="B389" s="4">
        <v>3.5036666666666698</v>
      </c>
      <c r="C389" s="4">
        <v>3.5066666666666699</v>
      </c>
      <c r="D389" s="4">
        <v>3.5019999999999998</v>
      </c>
      <c r="E389" s="4">
        <v>3.508</v>
      </c>
    </row>
    <row r="390" spans="1:5" x14ac:dyDescent="0.3">
      <c r="A390" s="3" t="s">
        <v>537</v>
      </c>
      <c r="B390" s="4">
        <v>3.4966666666666701</v>
      </c>
      <c r="C390" s="4">
        <v>3.5</v>
      </c>
      <c r="D390" s="4">
        <v>3.4950000000000001</v>
      </c>
      <c r="E390" s="4">
        <v>3.5</v>
      </c>
    </row>
    <row r="391" spans="1:5" x14ac:dyDescent="0.3">
      <c r="A391" s="3" t="s">
        <v>538</v>
      </c>
      <c r="B391" s="4">
        <v>3.5003333333333302</v>
      </c>
      <c r="C391" s="4">
        <v>3.5026666666666699</v>
      </c>
      <c r="D391" s="4">
        <v>3.4990000000000001</v>
      </c>
      <c r="E391" s="4">
        <v>3.504</v>
      </c>
    </row>
    <row r="392" spans="1:5" x14ac:dyDescent="0.3">
      <c r="A392" s="3" t="s">
        <v>539</v>
      </c>
      <c r="B392" s="4">
        <v>3.4951666666666701</v>
      </c>
      <c r="C392" s="4">
        <v>3.4991666666666701</v>
      </c>
      <c r="D392" s="4">
        <v>3.4950000000000001</v>
      </c>
      <c r="E392" s="4">
        <v>3.5019999999999998</v>
      </c>
    </row>
    <row r="393" spans="1:5" x14ac:dyDescent="0.3">
      <c r="A393" s="3" t="s">
        <v>540</v>
      </c>
      <c r="B393" s="4">
        <v>3.49583333333333</v>
      </c>
      <c r="C393" s="4">
        <v>3.5013333333333301</v>
      </c>
      <c r="D393" s="4">
        <v>3.4950000000000001</v>
      </c>
      <c r="E393" s="4">
        <v>3.4990000000000001</v>
      </c>
    </row>
    <row r="394" spans="1:5" x14ac:dyDescent="0.3">
      <c r="A394" s="3" t="s">
        <v>541</v>
      </c>
      <c r="B394" s="4">
        <v>3.512</v>
      </c>
      <c r="C394" s="4">
        <v>3.5153333333333299</v>
      </c>
      <c r="D394" s="4">
        <v>3.504</v>
      </c>
      <c r="E394" s="4">
        <v>3.5110000000000001</v>
      </c>
    </row>
    <row r="395" spans="1:5" x14ac:dyDescent="0.3">
      <c r="A395" s="3" t="s">
        <v>542</v>
      </c>
      <c r="B395" s="4">
        <v>3.5128333333333299</v>
      </c>
      <c r="C395" s="4">
        <v>3.5156666666666698</v>
      </c>
      <c r="D395" s="4">
        <v>3.5089999999999999</v>
      </c>
      <c r="E395" s="4">
        <v>3.5179999999999998</v>
      </c>
    </row>
    <row r="396" spans="1:5" x14ac:dyDescent="0.3">
      <c r="A396" s="3" t="s">
        <v>543</v>
      </c>
      <c r="B396" s="4">
        <v>3.4911666666666701</v>
      </c>
      <c r="C396" s="4">
        <v>3.4938333333333298</v>
      </c>
      <c r="D396" s="4">
        <v>3.4910000000000001</v>
      </c>
      <c r="E396" s="4">
        <v>3.4969999999999999</v>
      </c>
    </row>
    <row r="397" spans="1:5" x14ac:dyDescent="0.3">
      <c r="A397" s="3" t="s">
        <v>544</v>
      </c>
      <c r="B397" s="4">
        <v>3.5030000000000001</v>
      </c>
      <c r="C397" s="4">
        <v>3.5048333333333299</v>
      </c>
      <c r="D397" s="4">
        <v>3.5019999999999998</v>
      </c>
      <c r="E397" s="4">
        <v>3.5049999999999999</v>
      </c>
    </row>
    <row r="398" spans="1:5" x14ac:dyDescent="0.3">
      <c r="A398" s="3" t="s">
        <v>545</v>
      </c>
      <c r="B398" s="4">
        <v>3.5173333333333301</v>
      </c>
      <c r="C398" s="4">
        <v>3.5205000000000002</v>
      </c>
      <c r="D398" s="4">
        <v>3.5139999999999998</v>
      </c>
      <c r="E398" s="4">
        <v>3.5179999999999998</v>
      </c>
    </row>
    <row r="399" spans="1:5" x14ac:dyDescent="0.3">
      <c r="A399" s="3" t="s">
        <v>546</v>
      </c>
      <c r="B399" s="4">
        <v>3.5329999999999999</v>
      </c>
      <c r="C399" s="4">
        <v>3.5353333333333299</v>
      </c>
      <c r="D399" s="4">
        <v>3.5289999999999999</v>
      </c>
      <c r="E399" s="4">
        <v>3.536</v>
      </c>
    </row>
    <row r="400" spans="1:5" x14ac:dyDescent="0.3">
      <c r="A400" s="3" t="s">
        <v>547</v>
      </c>
      <c r="B400" s="4">
        <v>3.5213333333333301</v>
      </c>
      <c r="C400" s="4">
        <v>3.5266666666666699</v>
      </c>
      <c r="D400" s="4">
        <v>3.524</v>
      </c>
      <c r="E400" s="4">
        <v>3.5289999999999999</v>
      </c>
    </row>
    <row r="401" spans="1:5" x14ac:dyDescent="0.3">
      <c r="A401" s="3" t="s">
        <v>548</v>
      </c>
      <c r="B401" s="4">
        <v>3.5058333333333298</v>
      </c>
      <c r="C401" s="4">
        <v>3.50966666666667</v>
      </c>
      <c r="D401" s="4">
        <v>3.508</v>
      </c>
      <c r="E401" s="4">
        <v>3.5150000000000001</v>
      </c>
    </row>
    <row r="402" spans="1:5" x14ac:dyDescent="0.3">
      <c r="A402" s="3" t="s">
        <v>549</v>
      </c>
      <c r="B402" s="4">
        <v>3.5065</v>
      </c>
      <c r="C402" s="4">
        <v>3.5106666666666699</v>
      </c>
      <c r="D402" s="4">
        <v>3.5059999999999998</v>
      </c>
      <c r="E402" s="4">
        <v>3.51</v>
      </c>
    </row>
    <row r="403" spans="1:5" x14ac:dyDescent="0.3">
      <c r="A403" s="3" t="s">
        <v>550</v>
      </c>
      <c r="B403" s="4">
        <v>3.5256666666666701</v>
      </c>
      <c r="C403" s="4">
        <v>3.53</v>
      </c>
      <c r="D403" s="4">
        <v>3.5219999999999998</v>
      </c>
      <c r="E403" s="4">
        <v>3.5289999999999999</v>
      </c>
    </row>
    <row r="404" spans="1:5" x14ac:dyDescent="0.3">
      <c r="A404" s="3" t="s">
        <v>551</v>
      </c>
      <c r="B404" s="4">
        <v>3.5390000000000001</v>
      </c>
      <c r="C404" s="4">
        <v>3.5445000000000002</v>
      </c>
      <c r="D404" s="4">
        <v>3.5379999999999998</v>
      </c>
      <c r="E404" s="4">
        <v>3.5430000000000001</v>
      </c>
    </row>
    <row r="405" spans="1:5" x14ac:dyDescent="0.3">
      <c r="A405" s="3" t="s">
        <v>552</v>
      </c>
      <c r="B405" s="4">
        <v>3.54883333333333</v>
      </c>
      <c r="C405" s="4">
        <v>3.5516666666666699</v>
      </c>
      <c r="D405" s="4">
        <v>3.5459999999999998</v>
      </c>
      <c r="E405" s="4">
        <v>3.55</v>
      </c>
    </row>
    <row r="406" spans="1:5" x14ac:dyDescent="0.3">
      <c r="A406" s="3" t="s">
        <v>553</v>
      </c>
      <c r="B406" s="4">
        <v>3.5461666666666698</v>
      </c>
      <c r="C406" s="4">
        <v>3.54816666666667</v>
      </c>
      <c r="D406" s="4">
        <v>3.5449999999999999</v>
      </c>
      <c r="E406" s="4">
        <v>3.55</v>
      </c>
    </row>
    <row r="407" spans="1:5" x14ac:dyDescent="0.3">
      <c r="A407" s="3" t="s">
        <v>554</v>
      </c>
      <c r="B407" s="4">
        <v>3.5455000000000001</v>
      </c>
      <c r="C407" s="4">
        <v>3.5474999999999999</v>
      </c>
      <c r="D407" s="4">
        <v>3.5449999999999999</v>
      </c>
      <c r="E407" s="4">
        <v>3.548</v>
      </c>
    </row>
    <row r="408" spans="1:5" x14ac:dyDescent="0.3">
      <c r="A408" s="3" t="s">
        <v>555</v>
      </c>
      <c r="B408" s="4">
        <v>3.5495000000000001</v>
      </c>
      <c r="C408" s="4">
        <v>3.5518333333333301</v>
      </c>
      <c r="D408" s="4">
        <v>3.5470000000000002</v>
      </c>
      <c r="E408" s="4">
        <v>3.5510000000000002</v>
      </c>
    </row>
    <row r="409" spans="1:5" x14ac:dyDescent="0.3">
      <c r="A409" s="3" t="s">
        <v>556</v>
      </c>
      <c r="B409" s="4">
        <v>3.5576666666666701</v>
      </c>
      <c r="C409" s="4">
        <v>3.5606666666666702</v>
      </c>
      <c r="D409" s="4">
        <v>3.556</v>
      </c>
      <c r="E409" s="4">
        <v>3.5609999999999999</v>
      </c>
    </row>
    <row r="410" spans="1:5" x14ac:dyDescent="0.3">
      <c r="A410" s="3" t="s">
        <v>557</v>
      </c>
      <c r="B410" s="4">
        <v>3.5609999999999999</v>
      </c>
      <c r="C410" s="4">
        <v>3.56266666666667</v>
      </c>
      <c r="D410" s="4">
        <v>3.56</v>
      </c>
      <c r="E410" s="4">
        <v>3.5630000000000002</v>
      </c>
    </row>
    <row r="411" spans="1:5" x14ac:dyDescent="0.3">
      <c r="A411" s="3" t="s">
        <v>558</v>
      </c>
      <c r="B411" s="4">
        <v>3.5670000000000002</v>
      </c>
      <c r="C411" s="4">
        <v>3.5683333333333298</v>
      </c>
      <c r="D411" s="4">
        <v>3.5649999999999999</v>
      </c>
      <c r="E411" s="4">
        <v>3.5680000000000001</v>
      </c>
    </row>
    <row r="412" spans="1:5" x14ac:dyDescent="0.3">
      <c r="A412" s="3" t="s">
        <v>559</v>
      </c>
      <c r="B412" s="4">
        <v>3.5710000000000002</v>
      </c>
      <c r="C412" s="4">
        <v>3.57283333333333</v>
      </c>
      <c r="D412" s="4">
        <v>3.57</v>
      </c>
      <c r="E412" s="4">
        <v>3.573</v>
      </c>
    </row>
    <row r="413" spans="1:5" x14ac:dyDescent="0.3">
      <c r="A413" s="3" t="s">
        <v>560</v>
      </c>
      <c r="B413" s="4">
        <v>3.573</v>
      </c>
      <c r="C413" s="4">
        <v>3.5760000000000001</v>
      </c>
      <c r="D413" s="4">
        <v>3.573</v>
      </c>
      <c r="E413" s="4">
        <v>3.5760000000000001</v>
      </c>
    </row>
    <row r="414" spans="1:5" x14ac:dyDescent="0.3">
      <c r="A414" s="3" t="s">
        <v>561</v>
      </c>
      <c r="B414" s="4">
        <v>3.57683333333333</v>
      </c>
      <c r="C414" s="4">
        <v>3.58</v>
      </c>
      <c r="D414" s="4">
        <v>3.5750000000000002</v>
      </c>
      <c r="E414" s="4">
        <v>3.5790000000000002</v>
      </c>
    </row>
    <row r="415" spans="1:5" x14ac:dyDescent="0.3">
      <c r="A415" s="3" t="s">
        <v>562</v>
      </c>
      <c r="B415" s="4">
        <v>3.5714999999999999</v>
      </c>
      <c r="C415" s="4">
        <v>3.5735000000000001</v>
      </c>
      <c r="D415" s="4">
        <v>3.5720000000000001</v>
      </c>
      <c r="E415" s="4">
        <v>3.5760000000000001</v>
      </c>
    </row>
    <row r="416" spans="1:5" x14ac:dyDescent="0.3">
      <c r="A416" s="3" t="s">
        <v>563</v>
      </c>
      <c r="B416" s="4">
        <v>3.5593333333333299</v>
      </c>
      <c r="C416" s="4">
        <v>3.56266666666667</v>
      </c>
      <c r="D416" s="4">
        <v>3.56</v>
      </c>
      <c r="E416" s="4">
        <v>3.5640000000000001</v>
      </c>
    </row>
    <row r="417" spans="1:5" x14ac:dyDescent="0.3">
      <c r="A417" s="3" t="s">
        <v>564</v>
      </c>
      <c r="B417" s="4">
        <v>3.5745</v>
      </c>
      <c r="C417" s="4">
        <v>3.577</v>
      </c>
      <c r="D417" s="4">
        <v>3.573</v>
      </c>
      <c r="E417" s="4">
        <v>3.5760000000000001</v>
      </c>
    </row>
    <row r="418" spans="1:5" x14ac:dyDescent="0.3">
      <c r="A418" s="3" t="s">
        <v>565</v>
      </c>
      <c r="B418" s="4">
        <v>3.5825</v>
      </c>
      <c r="C418" s="4">
        <v>3.58483333333333</v>
      </c>
      <c r="D418" s="4">
        <v>3.5790000000000002</v>
      </c>
      <c r="E418" s="4">
        <v>3.5840000000000001</v>
      </c>
    </row>
    <row r="419" spans="1:5" x14ac:dyDescent="0.3">
      <c r="A419" s="3" t="s">
        <v>566</v>
      </c>
      <c r="B419" s="4">
        <v>3.58</v>
      </c>
      <c r="C419" s="4">
        <v>3.5836666666666699</v>
      </c>
      <c r="D419" s="4">
        <v>3.5790000000000002</v>
      </c>
      <c r="E419" s="4">
        <v>3.5830000000000002</v>
      </c>
    </row>
    <row r="420" spans="1:5" x14ac:dyDescent="0.3">
      <c r="A420" s="3" t="s">
        <v>567</v>
      </c>
      <c r="B420" s="4">
        <v>3.5880000000000001</v>
      </c>
      <c r="C420" s="4">
        <v>3.5920000000000001</v>
      </c>
      <c r="D420" s="4">
        <v>3.5880000000000001</v>
      </c>
      <c r="E420" s="4">
        <v>3.593</v>
      </c>
    </row>
    <row r="421" spans="1:5" x14ac:dyDescent="0.3">
      <c r="A421" s="3" t="s">
        <v>568</v>
      </c>
      <c r="B421" s="4">
        <v>3.5803333333333298</v>
      </c>
      <c r="C421" s="4">
        <v>3.5836666666666699</v>
      </c>
      <c r="D421" s="4">
        <v>3.5819999999999999</v>
      </c>
      <c r="E421" s="4">
        <v>3.5859999999999999</v>
      </c>
    </row>
    <row r="422" spans="1:5" x14ac:dyDescent="0.3">
      <c r="A422" s="3" t="s">
        <v>569</v>
      </c>
      <c r="B422" s="4">
        <v>3.5655000000000001</v>
      </c>
      <c r="C422" s="4">
        <v>3.56816666666667</v>
      </c>
      <c r="D422" s="4">
        <v>3.5680000000000001</v>
      </c>
      <c r="E422" s="4">
        <v>3.573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3216-842D-44A1-9991-25172124A05B}">
  <sheetPr codeName="Hoja1"/>
  <dimension ref="A1:C5"/>
  <sheetViews>
    <sheetView showGridLines="0" workbookViewId="0"/>
  </sheetViews>
  <sheetFormatPr baseColWidth="10" defaultRowHeight="14.4" x14ac:dyDescent="0.3"/>
  <cols>
    <col min="1" max="1" width="26.109375" customWidth="1"/>
    <col min="2" max="2" width="11.88671875" bestFit="1" customWidth="1"/>
  </cols>
  <sheetData>
    <row r="1" spans="1:3" x14ac:dyDescent="0.3">
      <c r="A1" s="11" t="s">
        <v>81</v>
      </c>
      <c r="B1" s="10">
        <f ca="1">TODAY()</f>
        <v>44675</v>
      </c>
    </row>
    <row r="3" spans="1:3" x14ac:dyDescent="0.3">
      <c r="A3" s="11" t="s">
        <v>582</v>
      </c>
      <c r="B3" s="12">
        <v>10</v>
      </c>
      <c r="C3" s="10">
        <f ca="1">DATE(YEAR(EDATE($B$1,-B3*12)),1,1)</f>
        <v>40909</v>
      </c>
    </row>
    <row r="4" spans="1:3" x14ac:dyDescent="0.3">
      <c r="A4" s="11" t="s">
        <v>581</v>
      </c>
      <c r="B4" s="12">
        <v>16</v>
      </c>
      <c r="C4" s="10">
        <f ca="1">DATE(YEAR(EDATE($B$1,-B4*12)),1,1)</f>
        <v>38718</v>
      </c>
    </row>
    <row r="5" spans="1:3" x14ac:dyDescent="0.3">
      <c r="A5" s="11" t="s">
        <v>583</v>
      </c>
      <c r="B5" s="12">
        <v>1</v>
      </c>
      <c r="C5" s="10">
        <f ca="1">DATE(YEAR(EDATE($B$1,-B5*12)),1,1)</f>
        <v>44197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BCRP Mensual</vt:lpstr>
      <vt:lpstr>BCRP Trimestral</vt:lpstr>
      <vt:lpstr>BCRP Diaria - TC</vt:lpstr>
      <vt:lpstr>Parámetros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Pérez Palma Ponce</dc:creator>
  <cp:lastModifiedBy>Richard Perez Palma</cp:lastModifiedBy>
  <dcterms:created xsi:type="dcterms:W3CDTF">2020-08-30T02:07:06Z</dcterms:created>
  <dcterms:modified xsi:type="dcterms:W3CDTF">2022-04-24T17:18:33Z</dcterms:modified>
</cp:coreProperties>
</file>